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eneficiaries" sheetId="2" state="visible" r:id="rId4"/>
    <sheet name="Sessions" sheetId="3" state="visible" r:id="rId5"/>
    <sheet name="Revenue" sheetId="4" state="visible" r:id="rId6"/>
    <sheet name="Partners" sheetId="5" state="visible" r:id="rId7"/>
    <sheet name="ReachLog" sheetId="6" state="visible" r:id="rId8"/>
    <sheet name="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<sst xmlns="http://schemas.openxmlformats.org/spreadsheetml/2006/main" count="116" uniqueCount="94">
  <si>
    <t xml:space="preserve">Enactus Evidence Tracker — Fliq / Enactus HKUST</t>
  </si>
  <si>
    <t xml:space="preserve">Impact window (edit these two cells — everything filters on them)</t>
  </si>
  <si>
    <t xml:space="preserve">Window start</t>
  </si>
  <si>
    <t xml:space="preserve">Window end</t>
  </si>
  <si>
    <t xml:space="preserve">How to use</t>
  </si>
  <si>
    <t xml:space="preserve">Log every beneficiary, session, dollar and mention in the sheets as it happens — not at competition time. The Summary sheet computes the Standardized Impact Page numbers from these rows automatically; only rows inside the impact window count.</t>
  </si>
  <si>
    <t xml:space="preserve">Yellow cells</t>
  </si>
  <si>
    <t xml:space="preserve">The only cells you edit on this sheet (the window dates).</t>
  </si>
  <si>
    <t xml:space="preserve">Gray italic rows</t>
  </si>
  <si>
    <t xml:space="preserve">Example rows showing the expected format — replace them with real data.</t>
  </si>
  <si>
    <t xml:space="preserve">Direct impact rule</t>
  </si>
  <si>
    <t xml:space="preserve">A beneficiary counts as Direct Impact only if Type = Direct AND both Pre and Post scores are recorded (measured change, per Enactus definitions).</t>
  </si>
  <si>
    <t xml:space="preserve">Reach rule</t>
  </si>
  <si>
    <t xml:space="preserve">Downloads, waitlist, media and event exposure are Reach — never report them as impact.</t>
  </si>
  <si>
    <t xml:space="preserve">Income rule</t>
  </si>
  <si>
    <t xml:space="preserve">Only Sales / Grant / Sponsorship / Donation with Direction = Income count as Income/Revenue. Log equity investment with Direction = Excluded so it can never leak into the table.</t>
  </si>
  <si>
    <t xml:space="preserve">Review readiness</t>
  </si>
  <si>
    <t xml:space="preserve">Keep receipt/consent/evidence links filled: the Impact &amp; Financial Reporting Review may contact beneficiaries and ask for documents. Numbers freeze one month before the World Cup.</t>
  </si>
  <si>
    <t xml:space="preserve">ID</t>
  </si>
  <si>
    <t xml:space="preserve">Name</t>
  </si>
  <si>
    <t xml:space="preserve">Project</t>
  </si>
  <si>
    <t xml:space="preserve">Type</t>
  </si>
  <si>
    <t xml:space="preserve">School / Channel</t>
  </si>
  <si>
    <t xml:space="preserve">Consent (Y/N)</t>
  </si>
  <si>
    <t xml:space="preserve">Contact</t>
  </si>
  <si>
    <t xml:space="preserve">Date engaged</t>
  </si>
  <si>
    <t xml:space="preserve">Pre score</t>
  </si>
  <si>
    <t xml:space="preserve">Post score</t>
  </si>
  <si>
    <t xml:space="preserve">Improvement %</t>
  </si>
  <si>
    <t xml:space="preserve">Measured direct?</t>
  </si>
  <si>
    <t xml:space="preserve">In window?</t>
  </si>
  <si>
    <t xml:space="preserve">Notes</t>
  </si>
  <si>
    <t xml:space="preserve">B-001</t>
  </si>
  <si>
    <t xml:space="preserve">Chan Tai Man</t>
  </si>
  <si>
    <t xml:space="preserve">Decode: Veritas</t>
  </si>
  <si>
    <t xml:space="preserve">Direct</t>
  </si>
  <si>
    <t xml:space="preserve">SKH Secondary School</t>
  </si>
  <si>
    <t xml:space="preserve">Y</t>
  </si>
  <si>
    <t xml:space="preserve">teacher@school.edu.hk</t>
  </si>
  <si>
    <t xml:space="preserve">EXAMPLE ROW — replace. Pre/post = media-literacy test scores.</t>
  </si>
  <si>
    <t xml:space="preserve">Date</t>
  </si>
  <si>
    <t xml:space="preserve">School / Venue</t>
  </si>
  <si>
    <t xml:space="preserve">Session topic</t>
  </si>
  <si>
    <t xml:space="preserve">Attendees</t>
  </si>
  <si>
    <t xml:space="preserve">Facilitator (team member)</t>
  </si>
  <si>
    <t xml:space="preserve">Evidence link (register/photos)</t>
  </si>
  <si>
    <t xml:space="preserve">Claims vs evidence workshop</t>
  </si>
  <si>
    <t xml:space="preserve">Ling Bo Zeng</t>
  </si>
  <si>
    <t xml:space="preserve">drive.google.com/…</t>
  </si>
  <si>
    <t xml:space="preserve">Direction</t>
  </si>
  <si>
    <t xml:space="preserve">Description</t>
  </si>
  <si>
    <t xml:space="preserve">Amount (USD)</t>
  </si>
  <si>
    <t xml:space="preserve">Receipt / doc ref</t>
  </si>
  <si>
    <t xml:space="preserve">Fliq</t>
  </si>
  <si>
    <t xml:space="preserve">Income</t>
  </si>
  <si>
    <t xml:space="preserve">Sales</t>
  </si>
  <si>
    <t xml:space="preserve">EXAMPLE — App subscriptions, November</t>
  </si>
  <si>
    <t xml:space="preserve">stripe-2026-11.pdf</t>
  </si>
  <si>
    <t xml:space="preserve">EXAMPLE — School programme fee</t>
  </si>
  <si>
    <t xml:space="preserve">invoice-DV-003.pdf</t>
  </si>
  <si>
    <t xml:space="preserve">Excluded</t>
  </si>
  <si>
    <t xml:space="preserve">Investment (excluded)</t>
  </si>
  <si>
    <t xml:space="preserve">EXAMPLE — Angel round tranche (never in the table)</t>
  </si>
  <si>
    <t xml:space="preserve">sha-2026.pdf</t>
  </si>
  <si>
    <t xml:space="preserve">Expense</t>
  </si>
  <si>
    <t xml:space="preserve">Infrastructure</t>
  </si>
  <si>
    <t xml:space="preserve">EXAMPLE — Cloud + licensed sourcing</t>
  </si>
  <si>
    <t xml:space="preserve">aws-2026-11.pdf</t>
  </si>
  <si>
    <t xml:space="preserve">Partner</t>
  </si>
  <si>
    <t xml:space="preserve">Role in project</t>
  </si>
  <si>
    <t xml:space="preserve">What the partner provided</t>
  </si>
  <si>
    <t xml:space="preserve">What the team itself did</t>
  </si>
  <si>
    <t xml:space="preserve">Agreement / doc ref</t>
  </si>
  <si>
    <t xml:space="preserve">Host school</t>
  </si>
  <si>
    <t xml:space="preserve">Classroom access, student cohort</t>
  </si>
  <si>
    <t xml:space="preserve">EXAMPLE — All curriculum design, teaching and testing by team</t>
  </si>
  <si>
    <t xml:space="preserve">vice-principal@school.edu.hk</t>
  </si>
  <si>
    <t xml:space="preserve">mou-skh.pdf</t>
  </si>
  <si>
    <t xml:space="preserve">Channel</t>
  </si>
  <si>
    <t xml:space="preserve">Count (people)</t>
  </si>
  <si>
    <t xml:space="preserve">Evidence link</t>
  </si>
  <si>
    <t xml:space="preserve">App downloads (cumulative delta)</t>
  </si>
  <si>
    <t xml:space="preserve">appstoreconnect screenshot</t>
  </si>
  <si>
    <t xml:space="preserve">Standardized Impact Page — computed from the raw sheets (copy these numbers to the report only after deleting example rows)</t>
  </si>
  <si>
    <t xml:space="preserve">Direct Impact (people)</t>
  </si>
  <si>
    <t xml:space="preserve">Indirect Impact (people)</t>
  </si>
  <si>
    <t xml:space="preserve">Reach (people)</t>
  </si>
  <si>
    <t xml:space="preserve">Income/Revenue (USD)</t>
  </si>
  <si>
    <t xml:space="preserve">Expenses (USD)</t>
  </si>
  <si>
    <t xml:space="preserve">Profit/Surplus (USD)</t>
  </si>
  <si>
    <t xml:space="preserve">Avg score improvement</t>
  </si>
  <si>
    <t xml:space="preserve">Other</t>
  </si>
  <si>
    <t xml:space="preserve">Total</t>
  </si>
  <si>
    <t xml:space="preserve">Note: 'Other' rows come from any additional Enactus HKUST projects logged with Project = Other. Copy the totals into the Standardized Impact Page; the two must always match.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</si>
</sst>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 mmm\ yyyy"/>
    <numFmt numFmtId="166" formatCode="0.0%"/>
    <numFmt numFmtId="167" formatCode="\$#,##0"/>
    <numFmt numFmtId="168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A8A8A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A8A8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1256A"/>
        <bgColor rgb="FF333399"/>
      </patternFill>
    </fill>
    <fill>
      <patternFill patternType="solid">
        <fgColor rgb="FFEFE9F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2DA"/>
      </left>
      <right style="thin">
        <color rgb="FFC9C2DA"/>
      </right>
      <top style="thin">
        <color rgb="FFC9C2DA"/>
      </top>
      <bottom style="thin">
        <color rgb="FFC9C2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2DA"/>
      <rgbColor rgb="FF8A8A8A"/>
      <rgbColor rgb="FF9999FF"/>
      <rgbColor rgb="FF993366"/>
      <rgbColor rgb="FFFFF2CC"/>
      <rgbColor rgb="FFEFE9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1256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/>
    </row>
    <row r="3" customFormat="false" ht="15" hidden="false" customHeight="false" outlineLevel="0" collapsed="false">
      <c r="A3" s="3" t="s">
        <v>1</v>
      </c>
      <c r="B3" s="2"/>
    </row>
    <row r="4" customFormat="false" ht="15" hidden="false" customHeight="false" outlineLevel="0" collapsed="false">
      <c r="A4" s="3" t="s">
        <v>2</v>
      </c>
      <c r="B4" s="4" t="n">
        <v>46266</v>
      </c>
    </row>
    <row r="5" customFormat="false" ht="15" hidden="false" customHeight="false" outlineLevel="0" collapsed="false">
      <c r="A5" s="3" t="s">
        <v>3</v>
      </c>
      <c r="B5" s="4" t="n">
        <v>46630</v>
      </c>
    </row>
    <row r="6" customFormat="false" ht="15" hidden="false" customHeight="false" outlineLevel="0" collapsed="false">
      <c r="A6" s="3"/>
      <c r="B6" s="2"/>
    </row>
    <row r="7" customFormat="false" ht="23.85" hidden="false" customHeight="false" outlineLevel="0" collapsed="false">
      <c r="A7" s="3" t="s">
        <v>4</v>
      </c>
      <c r="B7" s="2" t="s">
        <v>5</v>
      </c>
    </row>
    <row r="8" customFormat="false" ht="15" hidden="false" customHeight="false" outlineLevel="0" collapsed="false">
      <c r="A8" s="3" t="s">
        <v>6</v>
      </c>
      <c r="B8" s="2" t="s">
        <v>7</v>
      </c>
    </row>
    <row r="9" customFormat="false" ht="15" hidden="false" customHeight="false" outlineLevel="0" collapsed="false">
      <c r="A9" s="3" t="s">
        <v>8</v>
      </c>
      <c r="B9" s="2" t="s">
        <v>9</v>
      </c>
    </row>
    <row r="10" customFormat="false" ht="23.85" hidden="false" customHeight="false" outlineLevel="0" collapsed="false">
      <c r="A10" s="3" t="s">
        <v>10</v>
      </c>
      <c r="B10" s="2" t="s">
        <v>11</v>
      </c>
    </row>
    <row r="11" customFormat="false" ht="15" hidden="false" customHeight="false" outlineLevel="0" collapsed="false">
      <c r="A11" s="3" t="s">
        <v>12</v>
      </c>
      <c r="B11" s="2" t="s">
        <v>13</v>
      </c>
    </row>
    <row r="12" customFormat="false" ht="23.85" hidden="false" customHeight="false" outlineLevel="0" collapsed="false">
      <c r="A12" s="3" t="s">
        <v>14</v>
      </c>
      <c r="B12" s="2" t="s">
        <v>15</v>
      </c>
    </row>
    <row r="13" customFormat="false" ht="23.85" hidden="false" customHeight="false" outlineLevel="0" collapsed="false">
      <c r="A13" s="3" t="s">
        <v>16</v>
      </c>
      <c r="B13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13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4" min="14" style="0" width="28"/>
  </cols>
  <sheetData>
    <row r="1" customFormat="false" ht="15" hidden="false" customHeight="false" outlineLevel="0" collapsed="false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</row>
    <row r="2" customFormat="false" ht="15" hidden="false" customHeight="false" outlineLevel="0" collapsed="false">
      <c r="A2" s="6" t="s">
        <v>32</v>
      </c>
      <c r="B2" s="6" t="s">
        <v>33</v>
      </c>
      <c r="C2" s="6" t="s">
        <v>34</v>
      </c>
      <c r="D2" s="6" t="s">
        <v>35</v>
      </c>
      <c r="E2" s="6" t="s">
        <v>36</v>
      </c>
      <c r="F2" s="6" t="s">
        <v>37</v>
      </c>
      <c r="G2" s="6" t="s">
        <v>38</v>
      </c>
      <c r="H2" s="7" t="n">
        <v>46309</v>
      </c>
      <c r="I2" s="6" t="n">
        <v>55</v>
      </c>
      <c r="J2" s="6" t="n">
        <v>82</v>
      </c>
      <c r="K2" s="8" t="n">
        <f aca="false">IF(AND(ISNUMBER(I2),ISNUMBER(J2),I2&gt;0),(J2-I2)/I2,"")</f>
        <v>0.490909090909091</v>
      </c>
      <c r="L2" s="9" t="str">
        <f aca="false">IF(A2="","",IF(AND(D2="Direct",ISNUMBER(I2),ISNUMBER(J2)),"Yes","No"))</f>
        <v>Yes</v>
      </c>
      <c r="M2" s="9" t="str">
        <f aca="false">IF(H2="","",IF(AND(H2&gt;=README!$B$4,H2&lt;=README!$B$5),"Yes","No"))</f>
        <v>Yes</v>
      </c>
      <c r="N2" s="6" t="s">
        <v>39</v>
      </c>
    </row>
    <row r="3" customFormat="false" ht="15" hidden="false" customHeight="false" outlineLevel="0" collapsed="false">
      <c r="K3" s="10" t="str">
        <f aca="false">IF(AND(ISNUMBER(I3),ISNUMBER(J3),I3&gt;0),(J3-I3)/I3,"")</f>
        <v/>
      </c>
      <c r="L3" s="11" t="str">
        <f aca="false">IF(A3="","",IF(AND(D3="Direct",ISNUMBER(I3),ISNUMBER(J3)),"Yes","No"))</f>
        <v/>
      </c>
      <c r="M3" s="11" t="str">
        <f aca="false">IF(H3="","",IF(AND(H3&gt;=README!$B$4,H3&lt;=README!$B$5),"Yes","No"))</f>
        <v/>
      </c>
    </row>
    <row r="4" customFormat="false" ht="15" hidden="false" customHeight="false" outlineLevel="0" collapsed="false">
      <c r="K4" s="10" t="str">
        <f aca="false">IF(AND(ISNUMBER(I4),ISNUMBER(J4),I4&gt;0),(J4-I4)/I4,"")</f>
        <v/>
      </c>
      <c r="L4" s="11" t="str">
        <f aca="false">IF(A4="","",IF(AND(D4="Direct",ISNUMBER(I4),ISNUMBER(J4)),"Yes","No"))</f>
        <v/>
      </c>
      <c r="M4" s="11" t="str">
        <f aca="false">IF(H4="","",IF(AND(H4&gt;=README!$B$4,H4&lt;=README!$B$5),"Yes","No"))</f>
        <v/>
      </c>
    </row>
    <row r="5" customFormat="false" ht="15" hidden="false" customHeight="false" outlineLevel="0" collapsed="false">
      <c r="K5" s="10" t="str">
        <f aca="false">IF(AND(ISNUMBER(I5),ISNUMBER(J5),I5&gt;0),(J5-I5)/I5,"")</f>
        <v/>
      </c>
      <c r="L5" s="11" t="str">
        <f aca="false">IF(A5="","",IF(AND(D5="Direct",ISNUMBER(I5),ISNUMBER(J5)),"Yes","No"))</f>
        <v/>
      </c>
      <c r="M5" s="11" t="str">
        <f aca="false">IF(H5="","",IF(AND(H5&gt;=README!$B$4,H5&lt;=README!$B$5),"Yes","No"))</f>
        <v/>
      </c>
    </row>
    <row r="6" customFormat="false" ht="15" hidden="false" customHeight="false" outlineLevel="0" collapsed="false">
      <c r="K6" s="10" t="str">
        <f aca="false">IF(AND(ISNUMBER(I6),ISNUMBER(J6),I6&gt;0),(J6-I6)/I6,"")</f>
        <v/>
      </c>
      <c r="L6" s="11" t="str">
        <f aca="false">IF(A6="","",IF(AND(D6="Direct",ISNUMBER(I6),ISNUMBER(J6)),"Yes","No"))</f>
        <v/>
      </c>
      <c r="M6" s="11" t="str">
        <f aca="false">IF(H6="","",IF(AND(H6&gt;=README!$B$4,H6&lt;=README!$B$5),"Yes","No"))</f>
        <v/>
      </c>
    </row>
    <row r="7" customFormat="false" ht="15" hidden="false" customHeight="false" outlineLevel="0" collapsed="false">
      <c r="K7" s="10" t="str">
        <f aca="false">IF(AND(ISNUMBER(I7),ISNUMBER(J7),I7&gt;0),(J7-I7)/I7,"")</f>
        <v/>
      </c>
      <c r="L7" s="11" t="str">
        <f aca="false">IF(A7="","",IF(AND(D7="Direct",ISNUMBER(I7),ISNUMBER(J7)),"Yes","No"))</f>
        <v/>
      </c>
      <c r="M7" s="11" t="str">
        <f aca="false">IF(H7="","",IF(AND(H7&gt;=README!$B$4,H7&lt;=README!$B$5),"Yes","No"))</f>
        <v/>
      </c>
    </row>
    <row r="8" customFormat="false" ht="15" hidden="false" customHeight="false" outlineLevel="0" collapsed="false">
      <c r="K8" s="10" t="str">
        <f aca="false">IF(AND(ISNUMBER(I8),ISNUMBER(J8),I8&gt;0),(J8-I8)/I8,"")</f>
        <v/>
      </c>
      <c r="L8" s="11" t="str">
        <f aca="false">IF(A8="","",IF(AND(D8="Direct",ISNUMBER(I8),ISNUMBER(J8)),"Yes","No"))</f>
        <v/>
      </c>
      <c r="M8" s="11" t="str">
        <f aca="false">IF(H8="","",IF(AND(H8&gt;=README!$B$4,H8&lt;=README!$B$5),"Yes","No"))</f>
        <v/>
      </c>
    </row>
    <row r="9" customFormat="false" ht="15" hidden="false" customHeight="false" outlineLevel="0" collapsed="false">
      <c r="K9" s="10" t="str">
        <f aca="false">IF(AND(ISNUMBER(I9),ISNUMBER(J9),I9&gt;0),(J9-I9)/I9,"")</f>
        <v/>
      </c>
      <c r="L9" s="11" t="str">
        <f aca="false">IF(A9="","",IF(AND(D9="Direct",ISNUMBER(I9),ISNUMBER(J9)),"Yes","No"))</f>
        <v/>
      </c>
      <c r="M9" s="11" t="str">
        <f aca="false">IF(H9="","",IF(AND(H9&gt;=README!$B$4,H9&lt;=README!$B$5),"Yes","No"))</f>
        <v/>
      </c>
    </row>
    <row r="10" customFormat="false" ht="15" hidden="false" customHeight="false" outlineLevel="0" collapsed="false">
      <c r="K10" s="10" t="str">
        <f aca="false">IF(AND(ISNUMBER(I10),ISNUMBER(J10),I10&gt;0),(J10-I10)/I10,"")</f>
        <v/>
      </c>
      <c r="L10" s="11" t="str">
        <f aca="false">IF(A10="","",IF(AND(D10="Direct",ISNUMBER(I10),ISNUMBER(J10)),"Yes","No"))</f>
        <v/>
      </c>
      <c r="M10" s="11" t="str">
        <f aca="false">IF(H10="","",IF(AND(H10&gt;=README!$B$4,H10&lt;=README!$B$5),"Yes","No"))</f>
        <v/>
      </c>
    </row>
    <row r="11" customFormat="false" ht="15" hidden="false" customHeight="false" outlineLevel="0" collapsed="false">
      <c r="K11" s="10" t="str">
        <f aca="false">IF(AND(ISNUMBER(I11),ISNUMBER(J11),I11&gt;0),(J11-I11)/I11,"")</f>
        <v/>
      </c>
      <c r="L11" s="11" t="str">
        <f aca="false">IF(A11="","",IF(AND(D11="Direct",ISNUMBER(I11),ISNUMBER(J11)),"Yes","No"))</f>
        <v/>
      </c>
      <c r="M11" s="11" t="str">
        <f aca="false">IF(H11="","",IF(AND(H11&gt;=README!$B$4,H11&lt;=README!$B$5),"Yes","No"))</f>
        <v/>
      </c>
    </row>
    <row r="12" customFormat="false" ht="15" hidden="false" customHeight="false" outlineLevel="0" collapsed="false">
      <c r="K12" s="10" t="str">
        <f aca="false">IF(AND(ISNUMBER(I12),ISNUMBER(J12),I12&gt;0),(J12-I12)/I12,"")</f>
        <v/>
      </c>
      <c r="L12" s="11" t="str">
        <f aca="false">IF(A12="","",IF(AND(D12="Direct",ISNUMBER(I12),ISNUMBER(J12)),"Yes","No"))</f>
        <v/>
      </c>
      <c r="M12" s="11" t="str">
        <f aca="false">IF(H12="","",IF(AND(H12&gt;=README!$B$4,H12&lt;=README!$B$5),"Yes","No"))</f>
        <v/>
      </c>
    </row>
    <row r="13" customFormat="false" ht="15" hidden="false" customHeight="false" outlineLevel="0" collapsed="false">
      <c r="K13" s="10" t="str">
        <f aca="false">IF(AND(ISNUMBER(I13),ISNUMBER(J13),I13&gt;0),(J13-I13)/I13,"")</f>
        <v/>
      </c>
      <c r="L13" s="11" t="str">
        <f aca="false">IF(A13="","",IF(AND(D13="Direct",ISNUMBER(I13),ISNUMBER(J13)),"Yes","No"))</f>
        <v/>
      </c>
      <c r="M13" s="11" t="str">
        <f aca="false">IF(H13="","",IF(AND(H13&gt;=README!$B$4,H13&lt;=README!$B$5),"Yes","No"))</f>
        <v/>
      </c>
    </row>
    <row r="14" customFormat="false" ht="15" hidden="false" customHeight="false" outlineLevel="0" collapsed="false">
      <c r="K14" s="10" t="str">
        <f aca="false">IF(AND(ISNUMBER(I14),ISNUMBER(J14),I14&gt;0),(J14-I14)/I14,"")</f>
        <v/>
      </c>
      <c r="L14" s="11" t="str">
        <f aca="false">IF(A14="","",IF(AND(D14="Direct",ISNUMBER(I14),ISNUMBER(J14)),"Yes","No"))</f>
        <v/>
      </c>
      <c r="M14" s="11" t="str">
        <f aca="false">IF(H14="","",IF(AND(H14&gt;=README!$B$4,H14&lt;=README!$B$5),"Yes","No"))</f>
        <v/>
      </c>
    </row>
    <row r="15" customFormat="false" ht="15" hidden="false" customHeight="false" outlineLevel="0" collapsed="false">
      <c r="K15" s="10" t="str">
        <f aca="false">IF(AND(ISNUMBER(I15),ISNUMBER(J15),I15&gt;0),(J15-I15)/I15,"")</f>
        <v/>
      </c>
      <c r="L15" s="11" t="str">
        <f aca="false">IF(A15="","",IF(AND(D15="Direct",ISNUMBER(I15),ISNUMBER(J15)),"Yes","No"))</f>
        <v/>
      </c>
      <c r="M15" s="11" t="str">
        <f aca="false">IF(H15="","",IF(AND(H15&gt;=README!$B$4,H15&lt;=README!$B$5),"Yes","No"))</f>
        <v/>
      </c>
    </row>
    <row r="16" customFormat="false" ht="15" hidden="false" customHeight="false" outlineLevel="0" collapsed="false">
      <c r="K16" s="10" t="str">
        <f aca="false">IF(AND(ISNUMBER(I16),ISNUMBER(J16),I16&gt;0),(J16-I16)/I16,"")</f>
        <v/>
      </c>
      <c r="L16" s="11" t="str">
        <f aca="false">IF(A16="","",IF(AND(D16="Direct",ISNUMBER(I16),ISNUMBER(J16)),"Yes","No"))</f>
        <v/>
      </c>
      <c r="M16" s="11" t="str">
        <f aca="false">IF(H16="","",IF(AND(H16&gt;=README!$B$4,H16&lt;=README!$B$5),"Yes","No"))</f>
        <v/>
      </c>
    </row>
    <row r="17" customFormat="false" ht="15" hidden="false" customHeight="false" outlineLevel="0" collapsed="false">
      <c r="K17" s="10" t="str">
        <f aca="false">IF(AND(ISNUMBER(I17),ISNUMBER(J17),I17&gt;0),(J17-I17)/I17,"")</f>
        <v/>
      </c>
      <c r="L17" s="11" t="str">
        <f aca="false">IF(A17="","",IF(AND(D17="Direct",ISNUMBER(I17),ISNUMBER(J17)),"Yes","No"))</f>
        <v/>
      </c>
      <c r="M17" s="11" t="str">
        <f aca="false">IF(H17="","",IF(AND(H17&gt;=README!$B$4,H17&lt;=README!$B$5),"Yes","No"))</f>
        <v/>
      </c>
    </row>
    <row r="18" customFormat="false" ht="15" hidden="false" customHeight="false" outlineLevel="0" collapsed="false">
      <c r="K18" s="10" t="str">
        <f aca="false">IF(AND(ISNUMBER(I18),ISNUMBER(J18),I18&gt;0),(J18-I18)/I18,"")</f>
        <v/>
      </c>
      <c r="L18" s="11" t="str">
        <f aca="false">IF(A18="","",IF(AND(D18="Direct",ISNUMBER(I18),ISNUMBER(J18)),"Yes","No"))</f>
        <v/>
      </c>
      <c r="M18" s="11" t="str">
        <f aca="false">IF(H18="","",IF(AND(H18&gt;=README!$B$4,H18&lt;=README!$B$5),"Yes","No"))</f>
        <v/>
      </c>
    </row>
    <row r="19" customFormat="false" ht="15" hidden="false" customHeight="false" outlineLevel="0" collapsed="false">
      <c r="K19" s="10" t="str">
        <f aca="false">IF(AND(ISNUMBER(I19),ISNUMBER(J19),I19&gt;0),(J19-I19)/I19,"")</f>
        <v/>
      </c>
      <c r="L19" s="11" t="str">
        <f aca="false">IF(A19="","",IF(AND(D19="Direct",ISNUMBER(I19),ISNUMBER(J19)),"Yes","No"))</f>
        <v/>
      </c>
      <c r="M19" s="11" t="str">
        <f aca="false">IF(H19="","",IF(AND(H19&gt;=README!$B$4,H19&lt;=README!$B$5),"Yes","No"))</f>
        <v/>
      </c>
    </row>
    <row r="20" customFormat="false" ht="15" hidden="false" customHeight="false" outlineLevel="0" collapsed="false">
      <c r="K20" s="10" t="str">
        <f aca="false">IF(AND(ISNUMBER(I20),ISNUMBER(J20),I20&gt;0),(J20-I20)/I20,"")</f>
        <v/>
      </c>
      <c r="L20" s="11" t="str">
        <f aca="false">IF(A20="","",IF(AND(D20="Direct",ISNUMBER(I20),ISNUMBER(J20)),"Yes","No"))</f>
        <v/>
      </c>
      <c r="M20" s="11" t="str">
        <f aca="false">IF(H20="","",IF(AND(H20&gt;=README!$B$4,H20&lt;=README!$B$5),"Yes","No"))</f>
        <v/>
      </c>
    </row>
    <row r="21" customFormat="false" ht="15" hidden="false" customHeight="false" outlineLevel="0" collapsed="false">
      <c r="K21" s="10" t="str">
        <f aca="false">IF(AND(ISNUMBER(I21),ISNUMBER(J21),I21&gt;0),(J21-I21)/I21,"")</f>
        <v/>
      </c>
      <c r="L21" s="11" t="str">
        <f aca="false">IF(A21="","",IF(AND(D21="Direct",ISNUMBER(I21),ISNUMBER(J21)),"Yes","No"))</f>
        <v/>
      </c>
      <c r="M21" s="11" t="str">
        <f aca="false">IF(H21="","",IF(AND(H21&gt;=README!$B$4,H21&lt;=README!$B$5),"Yes","No"))</f>
        <v/>
      </c>
    </row>
    <row r="22" customFormat="false" ht="15" hidden="false" customHeight="false" outlineLevel="0" collapsed="false">
      <c r="K22" s="10" t="str">
        <f aca="false">IF(AND(ISNUMBER(I22),ISNUMBER(J22),I22&gt;0),(J22-I22)/I22,"")</f>
        <v/>
      </c>
      <c r="L22" s="11" t="str">
        <f aca="false">IF(A22="","",IF(AND(D22="Direct",ISNUMBER(I22),ISNUMBER(J22)),"Yes","No"))</f>
        <v/>
      </c>
      <c r="M22" s="11" t="str">
        <f aca="false">IF(H22="","",IF(AND(H22&gt;=README!$B$4,H22&lt;=README!$B$5),"Yes","No"))</f>
        <v/>
      </c>
    </row>
    <row r="23" customFormat="false" ht="15" hidden="false" customHeight="false" outlineLevel="0" collapsed="false">
      <c r="K23" s="10" t="str">
        <f aca="false">IF(AND(ISNUMBER(I23),ISNUMBER(J23),I23&gt;0),(J23-I23)/I23,"")</f>
        <v/>
      </c>
      <c r="L23" s="11" t="str">
        <f aca="false">IF(A23="","",IF(AND(D23="Direct",ISNUMBER(I23),ISNUMBER(J23)),"Yes","No"))</f>
        <v/>
      </c>
      <c r="M23" s="11" t="str">
        <f aca="false">IF(H23="","",IF(AND(H23&gt;=README!$B$4,H23&lt;=README!$B$5),"Yes","No"))</f>
        <v/>
      </c>
    </row>
    <row r="24" customFormat="false" ht="15" hidden="false" customHeight="false" outlineLevel="0" collapsed="false">
      <c r="K24" s="10" t="str">
        <f aca="false">IF(AND(ISNUMBER(I24),ISNUMBER(J24),I24&gt;0),(J24-I24)/I24,"")</f>
        <v/>
      </c>
      <c r="L24" s="11" t="str">
        <f aca="false">IF(A24="","",IF(AND(D24="Direct",ISNUMBER(I24),ISNUMBER(J24)),"Yes","No"))</f>
        <v/>
      </c>
      <c r="M24" s="11" t="str">
        <f aca="false">IF(H24="","",IF(AND(H24&gt;=README!$B$4,H24&lt;=README!$B$5),"Yes","No"))</f>
        <v/>
      </c>
    </row>
    <row r="25" customFormat="false" ht="15" hidden="false" customHeight="false" outlineLevel="0" collapsed="false">
      <c r="K25" s="10" t="str">
        <f aca="false">IF(AND(ISNUMBER(I25),ISNUMBER(J25),I25&gt;0),(J25-I25)/I25,"")</f>
        <v/>
      </c>
      <c r="L25" s="11" t="str">
        <f aca="false">IF(A25="","",IF(AND(D25="Direct",ISNUMBER(I25),ISNUMBER(J25)),"Yes","No"))</f>
        <v/>
      </c>
      <c r="M25" s="11" t="str">
        <f aca="false">IF(H25="","",IF(AND(H25&gt;=README!$B$4,H25&lt;=README!$B$5),"Yes","No"))</f>
        <v/>
      </c>
    </row>
    <row r="26" customFormat="false" ht="15" hidden="false" customHeight="false" outlineLevel="0" collapsed="false">
      <c r="K26" s="10" t="str">
        <f aca="false">IF(AND(ISNUMBER(I26),ISNUMBER(J26),I26&gt;0),(J26-I26)/I26,"")</f>
        <v/>
      </c>
      <c r="L26" s="11" t="str">
        <f aca="false">IF(A26="","",IF(AND(D26="Direct",ISNUMBER(I26),ISNUMBER(J26)),"Yes","No"))</f>
        <v/>
      </c>
      <c r="M26" s="11" t="str">
        <f aca="false">IF(H26="","",IF(AND(H26&gt;=README!$B$4,H26&lt;=README!$B$5),"Yes","No"))</f>
        <v/>
      </c>
    </row>
    <row r="27" customFormat="false" ht="15" hidden="false" customHeight="false" outlineLevel="0" collapsed="false">
      <c r="K27" s="10" t="str">
        <f aca="false">IF(AND(ISNUMBER(I27),ISNUMBER(J27),I27&gt;0),(J27-I27)/I27,"")</f>
        <v/>
      </c>
      <c r="L27" s="11" t="str">
        <f aca="false">IF(A27="","",IF(AND(D27="Direct",ISNUMBER(I27),ISNUMBER(J27)),"Yes","No"))</f>
        <v/>
      </c>
      <c r="M27" s="11" t="str">
        <f aca="false">IF(H27="","",IF(AND(H27&gt;=README!$B$4,H27&lt;=README!$B$5),"Yes","No"))</f>
        <v/>
      </c>
    </row>
    <row r="28" customFormat="false" ht="15" hidden="false" customHeight="false" outlineLevel="0" collapsed="false">
      <c r="K28" s="10" t="str">
        <f aca="false">IF(AND(ISNUMBER(I28),ISNUMBER(J28),I28&gt;0),(J28-I28)/I28,"")</f>
        <v/>
      </c>
      <c r="L28" s="11" t="str">
        <f aca="false">IF(A28="","",IF(AND(D28="Direct",ISNUMBER(I28),ISNUMBER(J28)),"Yes","No"))</f>
        <v/>
      </c>
      <c r="M28" s="11" t="str">
        <f aca="false">IF(H28="","",IF(AND(H28&gt;=README!$B$4,H28&lt;=README!$B$5),"Yes","No"))</f>
        <v/>
      </c>
    </row>
    <row r="29" customFormat="false" ht="15" hidden="false" customHeight="false" outlineLevel="0" collapsed="false">
      <c r="K29" s="10" t="str">
        <f aca="false">IF(AND(ISNUMBER(I29),ISNUMBER(J29),I29&gt;0),(J29-I29)/I29,"")</f>
        <v/>
      </c>
      <c r="L29" s="11" t="str">
        <f aca="false">IF(A29="","",IF(AND(D29="Direct",ISNUMBER(I29),ISNUMBER(J29)),"Yes","No"))</f>
        <v/>
      </c>
      <c r="M29" s="11" t="str">
        <f aca="false">IF(H29="","",IF(AND(H29&gt;=README!$B$4,H29&lt;=README!$B$5),"Yes","No"))</f>
        <v/>
      </c>
    </row>
    <row r="30" customFormat="false" ht="15" hidden="false" customHeight="false" outlineLevel="0" collapsed="false">
      <c r="K30" s="10" t="str">
        <f aca="false">IF(AND(ISNUMBER(I30),ISNUMBER(J30),I30&gt;0),(J30-I30)/I30,"")</f>
        <v/>
      </c>
      <c r="L30" s="11" t="str">
        <f aca="false">IF(A30="","",IF(AND(D30="Direct",ISNUMBER(I30),ISNUMBER(J30)),"Yes","No"))</f>
        <v/>
      </c>
      <c r="M30" s="11" t="str">
        <f aca="false">IF(H30="","",IF(AND(H30&gt;=README!$B$4,H30&lt;=README!$B$5),"Yes","No"))</f>
        <v/>
      </c>
    </row>
    <row r="31" customFormat="false" ht="15" hidden="false" customHeight="false" outlineLevel="0" collapsed="false">
      <c r="K31" s="10" t="str">
        <f aca="false">IF(AND(ISNUMBER(I31),ISNUMBER(J31),I31&gt;0),(J31-I31)/I31,"")</f>
        <v/>
      </c>
      <c r="L31" s="11" t="str">
        <f aca="false">IF(A31="","",IF(AND(D31="Direct",ISNUMBER(I31),ISNUMBER(J31)),"Yes","No"))</f>
        <v/>
      </c>
      <c r="M31" s="11" t="str">
        <f aca="false">IF(H31="","",IF(AND(H31&gt;=README!$B$4,H31&lt;=README!$B$5),"Yes","No"))</f>
        <v/>
      </c>
    </row>
    <row r="32" customFormat="false" ht="15" hidden="false" customHeight="false" outlineLevel="0" collapsed="false">
      <c r="K32" s="10" t="str">
        <f aca="false">IF(AND(ISNUMBER(I32),ISNUMBER(J32),I32&gt;0),(J32-I32)/I32,"")</f>
        <v/>
      </c>
      <c r="L32" s="11" t="str">
        <f aca="false">IF(A32="","",IF(AND(D32="Direct",ISNUMBER(I32),ISNUMBER(J32)),"Yes","No"))</f>
        <v/>
      </c>
      <c r="M32" s="11" t="str">
        <f aca="false">IF(H32="","",IF(AND(H32&gt;=README!$B$4,H32&lt;=README!$B$5),"Yes","No"))</f>
        <v/>
      </c>
    </row>
    <row r="33" customFormat="false" ht="15" hidden="false" customHeight="false" outlineLevel="0" collapsed="false">
      <c r="K33" s="10" t="str">
        <f aca="false">IF(AND(ISNUMBER(I33),ISNUMBER(J33),I33&gt;0),(J33-I33)/I33,"")</f>
        <v/>
      </c>
      <c r="L33" s="11" t="str">
        <f aca="false">IF(A33="","",IF(AND(D33="Direct",ISNUMBER(I33),ISNUMBER(J33)),"Yes","No"))</f>
        <v/>
      </c>
      <c r="M33" s="11" t="str">
        <f aca="false">IF(H33="","",IF(AND(H33&gt;=README!$B$4,H33&lt;=README!$B$5),"Yes","No"))</f>
        <v/>
      </c>
    </row>
    <row r="34" customFormat="false" ht="15" hidden="false" customHeight="false" outlineLevel="0" collapsed="false">
      <c r="K34" s="10" t="str">
        <f aca="false">IF(AND(ISNUMBER(I34),ISNUMBER(J34),I34&gt;0),(J34-I34)/I34,"")</f>
        <v/>
      </c>
      <c r="L34" s="11" t="str">
        <f aca="false">IF(A34="","",IF(AND(D34="Direct",ISNUMBER(I34),ISNUMBER(J34)),"Yes","No"))</f>
        <v/>
      </c>
      <c r="M34" s="11" t="str">
        <f aca="false">IF(H34="","",IF(AND(H34&gt;=README!$B$4,H34&lt;=README!$B$5),"Yes","No"))</f>
        <v/>
      </c>
    </row>
    <row r="35" customFormat="false" ht="15" hidden="false" customHeight="false" outlineLevel="0" collapsed="false">
      <c r="K35" s="10" t="str">
        <f aca="false">IF(AND(ISNUMBER(I35),ISNUMBER(J35),I35&gt;0),(J35-I35)/I35,"")</f>
        <v/>
      </c>
      <c r="L35" s="11" t="str">
        <f aca="false">IF(A35="","",IF(AND(D35="Direct",ISNUMBER(I35),ISNUMBER(J35)),"Yes","No"))</f>
        <v/>
      </c>
      <c r="M35" s="11" t="str">
        <f aca="false">IF(H35="","",IF(AND(H35&gt;=README!$B$4,H35&lt;=README!$B$5),"Yes","No"))</f>
        <v/>
      </c>
    </row>
    <row r="36" customFormat="false" ht="15" hidden="false" customHeight="false" outlineLevel="0" collapsed="false">
      <c r="K36" s="10" t="str">
        <f aca="false">IF(AND(ISNUMBER(I36),ISNUMBER(J36),I36&gt;0),(J36-I36)/I36,"")</f>
        <v/>
      </c>
      <c r="L36" s="11" t="str">
        <f aca="false">IF(A36="","",IF(AND(D36="Direct",ISNUMBER(I36),ISNUMBER(J36)),"Yes","No"))</f>
        <v/>
      </c>
      <c r="M36" s="11" t="str">
        <f aca="false">IF(H36="","",IF(AND(H36&gt;=README!$B$4,H36&lt;=README!$B$5),"Yes","No"))</f>
        <v/>
      </c>
    </row>
    <row r="37" customFormat="false" ht="15" hidden="false" customHeight="false" outlineLevel="0" collapsed="false">
      <c r="K37" s="10" t="str">
        <f aca="false">IF(AND(ISNUMBER(I37),ISNUMBER(J37),I37&gt;0),(J37-I37)/I37,"")</f>
        <v/>
      </c>
      <c r="L37" s="11" t="str">
        <f aca="false">IF(A37="","",IF(AND(D37="Direct",ISNUMBER(I37),ISNUMBER(J37)),"Yes","No"))</f>
        <v/>
      </c>
      <c r="M37" s="11" t="str">
        <f aca="false">IF(H37="","",IF(AND(H37&gt;=README!$B$4,H37&lt;=README!$B$5),"Yes","No"))</f>
        <v/>
      </c>
    </row>
    <row r="38" customFormat="false" ht="15" hidden="false" customHeight="false" outlineLevel="0" collapsed="false">
      <c r="K38" s="10" t="str">
        <f aca="false">IF(AND(ISNUMBER(I38),ISNUMBER(J38),I38&gt;0),(J38-I38)/I38,"")</f>
        <v/>
      </c>
      <c r="L38" s="11" t="str">
        <f aca="false">IF(A38="","",IF(AND(D38="Direct",ISNUMBER(I38),ISNUMBER(J38)),"Yes","No"))</f>
        <v/>
      </c>
      <c r="M38" s="11" t="str">
        <f aca="false">IF(H38="","",IF(AND(H38&gt;=README!$B$4,H38&lt;=README!$B$5),"Yes","No"))</f>
        <v/>
      </c>
    </row>
    <row r="39" customFormat="false" ht="15" hidden="false" customHeight="false" outlineLevel="0" collapsed="false">
      <c r="K39" s="10" t="str">
        <f aca="false">IF(AND(ISNUMBER(I39),ISNUMBER(J39),I39&gt;0),(J39-I39)/I39,"")</f>
        <v/>
      </c>
      <c r="L39" s="11" t="str">
        <f aca="false">IF(A39="","",IF(AND(D39="Direct",ISNUMBER(I39),ISNUMBER(J39)),"Yes","No"))</f>
        <v/>
      </c>
      <c r="M39" s="11" t="str">
        <f aca="false">IF(H39="","",IF(AND(H39&gt;=README!$B$4,H39&lt;=README!$B$5),"Yes","No"))</f>
        <v/>
      </c>
    </row>
    <row r="40" customFormat="false" ht="15" hidden="false" customHeight="false" outlineLevel="0" collapsed="false">
      <c r="K40" s="10" t="str">
        <f aca="false">IF(AND(ISNUMBER(I40),ISNUMBER(J40),I40&gt;0),(J40-I40)/I40,"")</f>
        <v/>
      </c>
      <c r="L40" s="11" t="str">
        <f aca="false">IF(A40="","",IF(AND(D40="Direct",ISNUMBER(I40),ISNUMBER(J40)),"Yes","No"))</f>
        <v/>
      </c>
      <c r="M40" s="11" t="str">
        <f aca="false">IF(H40="","",IF(AND(H40&gt;=README!$B$4,H40&lt;=README!$B$5),"Yes","No"))</f>
        <v/>
      </c>
    </row>
    <row r="41" customFormat="false" ht="15" hidden="false" customHeight="false" outlineLevel="0" collapsed="false">
      <c r="K41" s="10" t="str">
        <f aca="false">IF(AND(ISNUMBER(I41),ISNUMBER(J41),I41&gt;0),(J41-I41)/I41,"")</f>
        <v/>
      </c>
      <c r="L41" s="11" t="str">
        <f aca="false">IF(A41="","",IF(AND(D41="Direct",ISNUMBER(I41),ISNUMBER(J41)),"Yes","No"))</f>
        <v/>
      </c>
      <c r="M41" s="11" t="str">
        <f aca="false">IF(H41="","",IF(AND(H41&gt;=README!$B$4,H41&lt;=README!$B$5),"Yes","No"))</f>
        <v/>
      </c>
    </row>
    <row r="42" customFormat="false" ht="15" hidden="false" customHeight="false" outlineLevel="0" collapsed="false">
      <c r="K42" s="10" t="str">
        <f aca="false">IF(AND(ISNUMBER(I42),ISNUMBER(J42),I42&gt;0),(J42-I42)/I42,"")</f>
        <v/>
      </c>
      <c r="L42" s="11" t="str">
        <f aca="false">IF(A42="","",IF(AND(D42="Direct",ISNUMBER(I42),ISNUMBER(J42)),"Yes","No"))</f>
        <v/>
      </c>
      <c r="M42" s="11" t="str">
        <f aca="false">IF(H42="","",IF(AND(H42&gt;=README!$B$4,H42&lt;=README!$B$5),"Yes","No"))</f>
        <v/>
      </c>
    </row>
    <row r="43" customFormat="false" ht="15" hidden="false" customHeight="false" outlineLevel="0" collapsed="false">
      <c r="K43" s="10" t="str">
        <f aca="false">IF(AND(ISNUMBER(I43),ISNUMBER(J43),I43&gt;0),(J43-I43)/I43,"")</f>
        <v/>
      </c>
      <c r="L43" s="11" t="str">
        <f aca="false">IF(A43="","",IF(AND(D43="Direct",ISNUMBER(I43),ISNUMBER(J43)),"Yes","No"))</f>
        <v/>
      </c>
      <c r="M43" s="11" t="str">
        <f aca="false">IF(H43="","",IF(AND(H43&gt;=README!$B$4,H43&lt;=README!$B$5),"Yes","No"))</f>
        <v/>
      </c>
    </row>
    <row r="44" customFormat="false" ht="15" hidden="false" customHeight="false" outlineLevel="0" collapsed="false">
      <c r="K44" s="10" t="str">
        <f aca="false">IF(AND(ISNUMBER(I44),ISNUMBER(J44),I44&gt;0),(J44-I44)/I44,"")</f>
        <v/>
      </c>
      <c r="L44" s="11" t="str">
        <f aca="false">IF(A44="","",IF(AND(D44="Direct",ISNUMBER(I44),ISNUMBER(J44)),"Yes","No"))</f>
        <v/>
      </c>
      <c r="M44" s="11" t="str">
        <f aca="false">IF(H44="","",IF(AND(H44&gt;=README!$B$4,H44&lt;=README!$B$5),"Yes","No"))</f>
        <v/>
      </c>
    </row>
    <row r="45" customFormat="false" ht="15" hidden="false" customHeight="false" outlineLevel="0" collapsed="false">
      <c r="K45" s="10" t="str">
        <f aca="false">IF(AND(ISNUMBER(I45),ISNUMBER(J45),I45&gt;0),(J45-I45)/I45,"")</f>
        <v/>
      </c>
      <c r="L45" s="11" t="str">
        <f aca="false">IF(A45="","",IF(AND(D45="Direct",ISNUMBER(I45),ISNUMBER(J45)),"Yes","No"))</f>
        <v/>
      </c>
      <c r="M45" s="11" t="str">
        <f aca="false">IF(H45="","",IF(AND(H45&gt;=README!$B$4,H45&lt;=README!$B$5),"Yes","No"))</f>
        <v/>
      </c>
    </row>
    <row r="46" customFormat="false" ht="15" hidden="false" customHeight="false" outlineLevel="0" collapsed="false">
      <c r="K46" s="10" t="str">
        <f aca="false">IF(AND(ISNUMBER(I46),ISNUMBER(J46),I46&gt;0),(J46-I46)/I46,"")</f>
        <v/>
      </c>
      <c r="L46" s="11" t="str">
        <f aca="false">IF(A46="","",IF(AND(D46="Direct",ISNUMBER(I46),ISNUMBER(J46)),"Yes","No"))</f>
        <v/>
      </c>
      <c r="M46" s="11" t="str">
        <f aca="false">IF(H46="","",IF(AND(H46&gt;=README!$B$4,H46&lt;=README!$B$5),"Yes","No"))</f>
        <v/>
      </c>
    </row>
    <row r="47" customFormat="false" ht="15" hidden="false" customHeight="false" outlineLevel="0" collapsed="false">
      <c r="K47" s="10" t="str">
        <f aca="false">IF(AND(ISNUMBER(I47),ISNUMBER(J47),I47&gt;0),(J47-I47)/I47,"")</f>
        <v/>
      </c>
      <c r="L47" s="11" t="str">
        <f aca="false">IF(A47="","",IF(AND(D47="Direct",ISNUMBER(I47),ISNUMBER(J47)),"Yes","No"))</f>
        <v/>
      </c>
      <c r="M47" s="11" t="str">
        <f aca="false">IF(H47="","",IF(AND(H47&gt;=README!$B$4,H47&lt;=README!$B$5),"Yes","No"))</f>
        <v/>
      </c>
    </row>
    <row r="48" customFormat="false" ht="15" hidden="false" customHeight="false" outlineLevel="0" collapsed="false">
      <c r="K48" s="10" t="str">
        <f aca="false">IF(AND(ISNUMBER(I48),ISNUMBER(J48),I48&gt;0),(J48-I48)/I48,"")</f>
        <v/>
      </c>
      <c r="L48" s="11" t="str">
        <f aca="false">IF(A48="","",IF(AND(D48="Direct",ISNUMBER(I48),ISNUMBER(J48)),"Yes","No"))</f>
        <v/>
      </c>
      <c r="M48" s="11" t="str">
        <f aca="false">IF(H48="","",IF(AND(H48&gt;=README!$B$4,H48&lt;=README!$B$5),"Yes","No"))</f>
        <v/>
      </c>
    </row>
    <row r="49" customFormat="false" ht="15" hidden="false" customHeight="false" outlineLevel="0" collapsed="false">
      <c r="K49" s="10" t="str">
        <f aca="false">IF(AND(ISNUMBER(I49),ISNUMBER(J49),I49&gt;0),(J49-I49)/I49,"")</f>
        <v/>
      </c>
      <c r="L49" s="11" t="str">
        <f aca="false">IF(A49="","",IF(AND(D49="Direct",ISNUMBER(I49),ISNUMBER(J49)),"Yes","No"))</f>
        <v/>
      </c>
      <c r="M49" s="11" t="str">
        <f aca="false">IF(H49="","",IF(AND(H49&gt;=README!$B$4,H49&lt;=README!$B$5),"Yes","No"))</f>
        <v/>
      </c>
    </row>
    <row r="50" customFormat="false" ht="15" hidden="false" customHeight="false" outlineLevel="0" collapsed="false">
      <c r="K50" s="10" t="str">
        <f aca="false">IF(AND(ISNUMBER(I50),ISNUMBER(J50),I50&gt;0),(J50-I50)/I50,"")</f>
        <v/>
      </c>
      <c r="L50" s="11" t="str">
        <f aca="false">IF(A50="","",IF(AND(D50="Direct",ISNUMBER(I50),ISNUMBER(J50)),"Yes","No"))</f>
        <v/>
      </c>
      <c r="M50" s="11" t="str">
        <f aca="false">IF(H50="","",IF(AND(H50&gt;=README!$B$4,H50&lt;=README!$B$5),"Yes","No"))</f>
        <v/>
      </c>
    </row>
    <row r="51" customFormat="false" ht="15" hidden="false" customHeight="false" outlineLevel="0" collapsed="false">
      <c r="K51" s="10" t="str">
        <f aca="false">IF(AND(ISNUMBER(I51),ISNUMBER(J51),I51&gt;0),(J51-I51)/I51,"")</f>
        <v/>
      </c>
      <c r="L51" s="11" t="str">
        <f aca="false">IF(A51="","",IF(AND(D51="Direct",ISNUMBER(I51),ISNUMBER(J51)),"Yes","No"))</f>
        <v/>
      </c>
      <c r="M51" s="11" t="str">
        <f aca="false">IF(H51="","",IF(AND(H51&gt;=README!$B$4,H51&lt;=README!$B$5),"Yes","No"))</f>
        <v/>
      </c>
    </row>
    <row r="52" customFormat="false" ht="15" hidden="false" customHeight="false" outlineLevel="0" collapsed="false">
      <c r="K52" s="10" t="str">
        <f aca="false">IF(AND(ISNUMBER(I52),ISNUMBER(J52),I52&gt;0),(J52-I52)/I52,"")</f>
        <v/>
      </c>
      <c r="L52" s="11" t="str">
        <f aca="false">IF(A52="","",IF(AND(D52="Direct",ISNUMBER(I52),ISNUMBER(J52)),"Yes","No"))</f>
        <v/>
      </c>
      <c r="M52" s="11" t="str">
        <f aca="false">IF(H52="","",IF(AND(H52&gt;=README!$B$4,H52&lt;=README!$B$5),"Yes","No"))</f>
        <v/>
      </c>
    </row>
    <row r="53" customFormat="false" ht="15" hidden="false" customHeight="false" outlineLevel="0" collapsed="false">
      <c r="K53" s="10" t="str">
        <f aca="false">IF(AND(ISNUMBER(I53),ISNUMBER(J53),I53&gt;0),(J53-I53)/I53,"")</f>
        <v/>
      </c>
      <c r="L53" s="11" t="str">
        <f aca="false">IF(A53="","",IF(AND(D53="Direct",ISNUMBER(I53),ISNUMBER(J53)),"Yes","No"))</f>
        <v/>
      </c>
      <c r="M53" s="11" t="str">
        <f aca="false">IF(H53="","",IF(AND(H53&gt;=README!$B$4,H53&lt;=README!$B$5),"Yes","No"))</f>
        <v/>
      </c>
    </row>
    <row r="54" customFormat="false" ht="15" hidden="false" customHeight="false" outlineLevel="0" collapsed="false">
      <c r="K54" s="10" t="str">
        <f aca="false">IF(AND(ISNUMBER(I54),ISNUMBER(J54),I54&gt;0),(J54-I54)/I54,"")</f>
        <v/>
      </c>
      <c r="L54" s="11" t="str">
        <f aca="false">IF(A54="","",IF(AND(D54="Direct",ISNUMBER(I54),ISNUMBER(J54)),"Yes","No"))</f>
        <v/>
      </c>
      <c r="M54" s="11" t="str">
        <f aca="false">IF(H54="","",IF(AND(H54&gt;=README!$B$4,H54&lt;=README!$B$5),"Yes","No"))</f>
        <v/>
      </c>
    </row>
    <row r="55" customFormat="false" ht="15" hidden="false" customHeight="false" outlineLevel="0" collapsed="false">
      <c r="K55" s="10" t="str">
        <f aca="false">IF(AND(ISNUMBER(I55),ISNUMBER(J55),I55&gt;0),(J55-I55)/I55,"")</f>
        <v/>
      </c>
      <c r="L55" s="11" t="str">
        <f aca="false">IF(A55="","",IF(AND(D55="Direct",ISNUMBER(I55),ISNUMBER(J55)),"Yes","No"))</f>
        <v/>
      </c>
      <c r="M55" s="11" t="str">
        <f aca="false">IF(H55="","",IF(AND(H55&gt;=README!$B$4,H55&lt;=README!$B$5),"Yes","No"))</f>
        <v/>
      </c>
    </row>
    <row r="56" customFormat="false" ht="15" hidden="false" customHeight="false" outlineLevel="0" collapsed="false">
      <c r="K56" s="10" t="str">
        <f aca="false">IF(AND(ISNUMBER(I56),ISNUMBER(J56),I56&gt;0),(J56-I56)/I56,"")</f>
        <v/>
      </c>
      <c r="L56" s="11" t="str">
        <f aca="false">IF(A56="","",IF(AND(D56="Direct",ISNUMBER(I56),ISNUMBER(J56)),"Yes","No"))</f>
        <v/>
      </c>
      <c r="M56" s="11" t="str">
        <f aca="false">IF(H56="","",IF(AND(H56&gt;=README!$B$4,H56&lt;=README!$B$5),"Yes","No"))</f>
        <v/>
      </c>
    </row>
    <row r="57" customFormat="false" ht="15" hidden="false" customHeight="false" outlineLevel="0" collapsed="false">
      <c r="K57" s="10" t="str">
        <f aca="false">IF(AND(ISNUMBER(I57),ISNUMBER(J57),I57&gt;0),(J57-I57)/I57,"")</f>
        <v/>
      </c>
      <c r="L57" s="11" t="str">
        <f aca="false">IF(A57="","",IF(AND(D57="Direct",ISNUMBER(I57),ISNUMBER(J57)),"Yes","No"))</f>
        <v/>
      </c>
      <c r="M57" s="11" t="str">
        <f aca="false">IF(H57="","",IF(AND(H57&gt;=README!$B$4,H57&lt;=README!$B$5),"Yes","No"))</f>
        <v/>
      </c>
    </row>
    <row r="58" customFormat="false" ht="15" hidden="false" customHeight="false" outlineLevel="0" collapsed="false">
      <c r="K58" s="10" t="str">
        <f aca="false">IF(AND(ISNUMBER(I58),ISNUMBER(J58),I58&gt;0),(J58-I58)/I58,"")</f>
        <v/>
      </c>
      <c r="L58" s="11" t="str">
        <f aca="false">IF(A58="","",IF(AND(D58="Direct",ISNUMBER(I58),ISNUMBER(J58)),"Yes","No"))</f>
        <v/>
      </c>
      <c r="M58" s="11" t="str">
        <f aca="false">IF(H58="","",IF(AND(H58&gt;=README!$B$4,H58&lt;=README!$B$5),"Yes","No"))</f>
        <v/>
      </c>
    </row>
    <row r="59" customFormat="false" ht="15" hidden="false" customHeight="false" outlineLevel="0" collapsed="false">
      <c r="K59" s="10" t="str">
        <f aca="false">IF(AND(ISNUMBER(I59),ISNUMBER(J59),I59&gt;0),(J59-I59)/I59,"")</f>
        <v/>
      </c>
      <c r="L59" s="11" t="str">
        <f aca="false">IF(A59="","",IF(AND(D59="Direct",ISNUMBER(I59),ISNUMBER(J59)),"Yes","No"))</f>
        <v/>
      </c>
      <c r="M59" s="11" t="str">
        <f aca="false">IF(H59="","",IF(AND(H59&gt;=README!$B$4,H59&lt;=README!$B$5),"Yes","No"))</f>
        <v/>
      </c>
    </row>
    <row r="60" customFormat="false" ht="15" hidden="false" customHeight="false" outlineLevel="0" collapsed="false">
      <c r="K60" s="10" t="str">
        <f aca="false">IF(AND(ISNUMBER(I60),ISNUMBER(J60),I60&gt;0),(J60-I60)/I60,"")</f>
        <v/>
      </c>
      <c r="L60" s="11" t="str">
        <f aca="false">IF(A60="","",IF(AND(D60="Direct",ISNUMBER(I60),ISNUMBER(J60)),"Yes","No"))</f>
        <v/>
      </c>
      <c r="M60" s="11" t="str">
        <f aca="false">IF(H60="","",IF(AND(H60&gt;=README!$B$4,H60&lt;=README!$B$5),"Yes","No"))</f>
        <v/>
      </c>
    </row>
    <row r="61" customFormat="false" ht="15" hidden="false" customHeight="false" outlineLevel="0" collapsed="false">
      <c r="K61" s="10" t="str">
        <f aca="false">IF(AND(ISNUMBER(I61),ISNUMBER(J61),I61&gt;0),(J61-I61)/I61,"")</f>
        <v/>
      </c>
      <c r="L61" s="11" t="str">
        <f aca="false">IF(A61="","",IF(AND(D61="Direct",ISNUMBER(I61),ISNUMBER(J61)),"Yes","No"))</f>
        <v/>
      </c>
      <c r="M61" s="11" t="str">
        <f aca="false">IF(H61="","",IF(AND(H61&gt;=README!$B$4,H61&lt;=README!$B$5),"Yes","No"))</f>
        <v/>
      </c>
    </row>
    <row r="62" customFormat="false" ht="15" hidden="false" customHeight="false" outlineLevel="0" collapsed="false">
      <c r="K62" s="10" t="str">
        <f aca="false">IF(AND(ISNUMBER(I62),ISNUMBER(J62),I62&gt;0),(J62-I62)/I62,"")</f>
        <v/>
      </c>
      <c r="L62" s="11" t="str">
        <f aca="false">IF(A62="","",IF(AND(D62="Direct",ISNUMBER(I62),ISNUMBER(J62)),"Yes","No"))</f>
        <v/>
      </c>
      <c r="M62" s="11" t="str">
        <f aca="false">IF(H62="","",IF(AND(H62&gt;=README!$B$4,H62&lt;=README!$B$5),"Yes","No"))</f>
        <v/>
      </c>
    </row>
    <row r="63" customFormat="false" ht="15" hidden="false" customHeight="false" outlineLevel="0" collapsed="false">
      <c r="K63" s="10" t="str">
        <f aca="false">IF(AND(ISNUMBER(I63),ISNUMBER(J63),I63&gt;0),(J63-I63)/I63,"")</f>
        <v/>
      </c>
      <c r="L63" s="11" t="str">
        <f aca="false">IF(A63="","",IF(AND(D63="Direct",ISNUMBER(I63),ISNUMBER(J63)),"Yes","No"))</f>
        <v/>
      </c>
      <c r="M63" s="11" t="str">
        <f aca="false">IF(H63="","",IF(AND(H63&gt;=README!$B$4,H63&lt;=README!$B$5),"Yes","No"))</f>
        <v/>
      </c>
    </row>
    <row r="64" customFormat="false" ht="15" hidden="false" customHeight="false" outlineLevel="0" collapsed="false">
      <c r="K64" s="10" t="str">
        <f aca="false">IF(AND(ISNUMBER(I64),ISNUMBER(J64),I64&gt;0),(J64-I64)/I64,"")</f>
        <v/>
      </c>
      <c r="L64" s="11" t="str">
        <f aca="false">IF(A64="","",IF(AND(D64="Direct",ISNUMBER(I64),ISNUMBER(J64)),"Yes","No"))</f>
        <v/>
      </c>
      <c r="M64" s="11" t="str">
        <f aca="false">IF(H64="","",IF(AND(H64&gt;=README!$B$4,H64&lt;=README!$B$5),"Yes","No"))</f>
        <v/>
      </c>
    </row>
    <row r="65" customFormat="false" ht="15" hidden="false" customHeight="false" outlineLevel="0" collapsed="false">
      <c r="K65" s="10" t="str">
        <f aca="false">IF(AND(ISNUMBER(I65),ISNUMBER(J65),I65&gt;0),(J65-I65)/I65,"")</f>
        <v/>
      </c>
      <c r="L65" s="11" t="str">
        <f aca="false">IF(A65="","",IF(AND(D65="Direct",ISNUMBER(I65),ISNUMBER(J65)),"Yes","No"))</f>
        <v/>
      </c>
      <c r="M65" s="11" t="str">
        <f aca="false">IF(H65="","",IF(AND(H65&gt;=README!$B$4,H65&lt;=README!$B$5),"Yes","No"))</f>
        <v/>
      </c>
    </row>
    <row r="66" customFormat="false" ht="15" hidden="false" customHeight="false" outlineLevel="0" collapsed="false">
      <c r="K66" s="10" t="str">
        <f aca="false">IF(AND(ISNUMBER(I66),ISNUMBER(J66),I66&gt;0),(J66-I66)/I66,"")</f>
        <v/>
      </c>
      <c r="L66" s="11" t="str">
        <f aca="false">IF(A66="","",IF(AND(D66="Direct",ISNUMBER(I66),ISNUMBER(J66)),"Yes","No"))</f>
        <v/>
      </c>
      <c r="M66" s="11" t="str">
        <f aca="false">IF(H66="","",IF(AND(H66&gt;=README!$B$4,H66&lt;=README!$B$5),"Yes","No"))</f>
        <v/>
      </c>
    </row>
    <row r="67" customFormat="false" ht="15" hidden="false" customHeight="false" outlineLevel="0" collapsed="false">
      <c r="K67" s="10" t="str">
        <f aca="false">IF(AND(ISNUMBER(I67),ISNUMBER(J67),I67&gt;0),(J67-I67)/I67,"")</f>
        <v/>
      </c>
      <c r="L67" s="11" t="str">
        <f aca="false">IF(A67="","",IF(AND(D67="Direct",ISNUMBER(I67),ISNUMBER(J67)),"Yes","No"))</f>
        <v/>
      </c>
      <c r="M67" s="11" t="str">
        <f aca="false">IF(H67="","",IF(AND(H67&gt;=README!$B$4,H67&lt;=README!$B$5),"Yes","No"))</f>
        <v/>
      </c>
    </row>
    <row r="68" customFormat="false" ht="15" hidden="false" customHeight="false" outlineLevel="0" collapsed="false">
      <c r="K68" s="10" t="str">
        <f aca="false">IF(AND(ISNUMBER(I68),ISNUMBER(J68),I68&gt;0),(J68-I68)/I68,"")</f>
        <v/>
      </c>
      <c r="L68" s="11" t="str">
        <f aca="false">IF(A68="","",IF(AND(D68="Direct",ISNUMBER(I68),ISNUMBER(J68)),"Yes","No"))</f>
        <v/>
      </c>
      <c r="M68" s="11" t="str">
        <f aca="false">IF(H68="","",IF(AND(H68&gt;=README!$B$4,H68&lt;=README!$B$5),"Yes","No"))</f>
        <v/>
      </c>
    </row>
    <row r="69" customFormat="false" ht="15" hidden="false" customHeight="false" outlineLevel="0" collapsed="false">
      <c r="K69" s="10" t="str">
        <f aca="false">IF(AND(ISNUMBER(I69),ISNUMBER(J69),I69&gt;0),(J69-I69)/I69,"")</f>
        <v/>
      </c>
      <c r="L69" s="11" t="str">
        <f aca="false">IF(A69="","",IF(AND(D69="Direct",ISNUMBER(I69),ISNUMBER(J69)),"Yes","No"))</f>
        <v/>
      </c>
      <c r="M69" s="11" t="str">
        <f aca="false">IF(H69="","",IF(AND(H69&gt;=README!$B$4,H69&lt;=README!$B$5),"Yes","No"))</f>
        <v/>
      </c>
    </row>
    <row r="70" customFormat="false" ht="15" hidden="false" customHeight="false" outlineLevel="0" collapsed="false">
      <c r="K70" s="10" t="str">
        <f aca="false">IF(AND(ISNUMBER(I70),ISNUMBER(J70),I70&gt;0),(J70-I70)/I70,"")</f>
        <v/>
      </c>
      <c r="L70" s="11" t="str">
        <f aca="false">IF(A70="","",IF(AND(D70="Direct",ISNUMBER(I70),ISNUMBER(J70)),"Yes","No"))</f>
        <v/>
      </c>
      <c r="M70" s="11" t="str">
        <f aca="false">IF(H70="","",IF(AND(H70&gt;=README!$B$4,H70&lt;=README!$B$5),"Yes","No"))</f>
        <v/>
      </c>
    </row>
    <row r="71" customFormat="false" ht="15" hidden="false" customHeight="false" outlineLevel="0" collapsed="false">
      <c r="K71" s="10" t="str">
        <f aca="false">IF(AND(ISNUMBER(I71),ISNUMBER(J71),I71&gt;0),(J71-I71)/I71,"")</f>
        <v/>
      </c>
      <c r="L71" s="11" t="str">
        <f aca="false">IF(A71="","",IF(AND(D71="Direct",ISNUMBER(I71),ISNUMBER(J71)),"Yes","No"))</f>
        <v/>
      </c>
      <c r="M71" s="11" t="str">
        <f aca="false">IF(H71="","",IF(AND(H71&gt;=README!$B$4,H71&lt;=README!$B$5),"Yes","No"))</f>
        <v/>
      </c>
    </row>
    <row r="72" customFormat="false" ht="15" hidden="false" customHeight="false" outlineLevel="0" collapsed="false">
      <c r="K72" s="10" t="str">
        <f aca="false">IF(AND(ISNUMBER(I72),ISNUMBER(J72),I72&gt;0),(J72-I72)/I72,"")</f>
        <v/>
      </c>
      <c r="L72" s="11" t="str">
        <f aca="false">IF(A72="","",IF(AND(D72="Direct",ISNUMBER(I72),ISNUMBER(J72)),"Yes","No"))</f>
        <v/>
      </c>
      <c r="M72" s="11" t="str">
        <f aca="false">IF(H72="","",IF(AND(H72&gt;=README!$B$4,H72&lt;=README!$B$5),"Yes","No"))</f>
        <v/>
      </c>
    </row>
    <row r="73" customFormat="false" ht="15" hidden="false" customHeight="false" outlineLevel="0" collapsed="false">
      <c r="K73" s="10" t="str">
        <f aca="false">IF(AND(ISNUMBER(I73),ISNUMBER(J73),I73&gt;0),(J73-I73)/I73,"")</f>
        <v/>
      </c>
      <c r="L73" s="11" t="str">
        <f aca="false">IF(A73="","",IF(AND(D73="Direct",ISNUMBER(I73),ISNUMBER(J73)),"Yes","No"))</f>
        <v/>
      </c>
      <c r="M73" s="11" t="str">
        <f aca="false">IF(H73="","",IF(AND(H73&gt;=README!$B$4,H73&lt;=README!$B$5),"Yes","No"))</f>
        <v/>
      </c>
    </row>
    <row r="74" customFormat="false" ht="15" hidden="false" customHeight="false" outlineLevel="0" collapsed="false">
      <c r="K74" s="10" t="str">
        <f aca="false">IF(AND(ISNUMBER(I74),ISNUMBER(J74),I74&gt;0),(J74-I74)/I74,"")</f>
        <v/>
      </c>
      <c r="L74" s="11" t="str">
        <f aca="false">IF(A74="","",IF(AND(D74="Direct",ISNUMBER(I74),ISNUMBER(J74)),"Yes","No"))</f>
        <v/>
      </c>
      <c r="M74" s="11" t="str">
        <f aca="false">IF(H74="","",IF(AND(H74&gt;=README!$B$4,H74&lt;=README!$B$5),"Yes","No"))</f>
        <v/>
      </c>
    </row>
    <row r="75" customFormat="false" ht="15" hidden="false" customHeight="false" outlineLevel="0" collapsed="false">
      <c r="K75" s="10" t="str">
        <f aca="false">IF(AND(ISNUMBER(I75),ISNUMBER(J75),I75&gt;0),(J75-I75)/I75,"")</f>
        <v/>
      </c>
      <c r="L75" s="11" t="str">
        <f aca="false">IF(A75="","",IF(AND(D75="Direct",ISNUMBER(I75),ISNUMBER(J75)),"Yes","No"))</f>
        <v/>
      </c>
      <c r="M75" s="11" t="str">
        <f aca="false">IF(H75="","",IF(AND(H75&gt;=README!$B$4,H75&lt;=README!$B$5),"Yes","No"))</f>
        <v/>
      </c>
    </row>
    <row r="76" customFormat="false" ht="15" hidden="false" customHeight="false" outlineLevel="0" collapsed="false">
      <c r="K76" s="10" t="str">
        <f aca="false">IF(AND(ISNUMBER(I76),ISNUMBER(J76),I76&gt;0),(J76-I76)/I76,"")</f>
        <v/>
      </c>
      <c r="L76" s="11" t="str">
        <f aca="false">IF(A76="","",IF(AND(D76="Direct",ISNUMBER(I76),ISNUMBER(J76)),"Yes","No"))</f>
        <v/>
      </c>
      <c r="M76" s="11" t="str">
        <f aca="false">IF(H76="","",IF(AND(H76&gt;=README!$B$4,H76&lt;=README!$B$5),"Yes","No"))</f>
        <v/>
      </c>
    </row>
    <row r="77" customFormat="false" ht="15" hidden="false" customHeight="false" outlineLevel="0" collapsed="false">
      <c r="K77" s="10" t="str">
        <f aca="false">IF(AND(ISNUMBER(I77),ISNUMBER(J77),I77&gt;0),(J77-I77)/I77,"")</f>
        <v/>
      </c>
      <c r="L77" s="11" t="str">
        <f aca="false">IF(A77="","",IF(AND(D77="Direct",ISNUMBER(I77),ISNUMBER(J77)),"Yes","No"))</f>
        <v/>
      </c>
      <c r="M77" s="11" t="str">
        <f aca="false">IF(H77="","",IF(AND(H77&gt;=README!$B$4,H77&lt;=README!$B$5),"Yes","No"))</f>
        <v/>
      </c>
    </row>
    <row r="78" customFormat="false" ht="15" hidden="false" customHeight="false" outlineLevel="0" collapsed="false">
      <c r="K78" s="10" t="str">
        <f aca="false">IF(AND(ISNUMBER(I78),ISNUMBER(J78),I78&gt;0),(J78-I78)/I78,"")</f>
        <v/>
      </c>
      <c r="L78" s="11" t="str">
        <f aca="false">IF(A78="","",IF(AND(D78="Direct",ISNUMBER(I78),ISNUMBER(J78)),"Yes","No"))</f>
        <v/>
      </c>
      <c r="M78" s="11" t="str">
        <f aca="false">IF(H78="","",IF(AND(H78&gt;=README!$B$4,H78&lt;=README!$B$5),"Yes","No"))</f>
        <v/>
      </c>
    </row>
    <row r="79" customFormat="false" ht="15" hidden="false" customHeight="false" outlineLevel="0" collapsed="false">
      <c r="K79" s="10" t="str">
        <f aca="false">IF(AND(ISNUMBER(I79),ISNUMBER(J79),I79&gt;0),(J79-I79)/I79,"")</f>
        <v/>
      </c>
      <c r="L79" s="11" t="str">
        <f aca="false">IF(A79="","",IF(AND(D79="Direct",ISNUMBER(I79),ISNUMBER(J79)),"Yes","No"))</f>
        <v/>
      </c>
      <c r="M79" s="11" t="str">
        <f aca="false">IF(H79="","",IF(AND(H79&gt;=README!$B$4,H79&lt;=README!$B$5),"Yes","No"))</f>
        <v/>
      </c>
    </row>
    <row r="80" customFormat="false" ht="15" hidden="false" customHeight="false" outlineLevel="0" collapsed="false">
      <c r="K80" s="10" t="str">
        <f aca="false">IF(AND(ISNUMBER(I80),ISNUMBER(J80),I80&gt;0),(J80-I80)/I80,"")</f>
        <v/>
      </c>
      <c r="L80" s="11" t="str">
        <f aca="false">IF(A80="","",IF(AND(D80="Direct",ISNUMBER(I80),ISNUMBER(J80)),"Yes","No"))</f>
        <v/>
      </c>
      <c r="M80" s="11" t="str">
        <f aca="false">IF(H80="","",IF(AND(H80&gt;=README!$B$4,H80&lt;=README!$B$5),"Yes","No"))</f>
        <v/>
      </c>
    </row>
    <row r="81" customFormat="false" ht="15" hidden="false" customHeight="false" outlineLevel="0" collapsed="false">
      <c r="K81" s="10" t="str">
        <f aca="false">IF(AND(ISNUMBER(I81),ISNUMBER(J81),I81&gt;0),(J81-I81)/I81,"")</f>
        <v/>
      </c>
      <c r="L81" s="11" t="str">
        <f aca="false">IF(A81="","",IF(AND(D81="Direct",ISNUMBER(I81),ISNUMBER(J81)),"Yes","No"))</f>
        <v/>
      </c>
      <c r="M81" s="11" t="str">
        <f aca="false">IF(H81="","",IF(AND(H81&gt;=README!$B$4,H81&lt;=README!$B$5),"Yes","No"))</f>
        <v/>
      </c>
    </row>
    <row r="82" customFormat="false" ht="15" hidden="false" customHeight="false" outlineLevel="0" collapsed="false">
      <c r="K82" s="10" t="str">
        <f aca="false">IF(AND(ISNUMBER(I82),ISNUMBER(J82),I82&gt;0),(J82-I82)/I82,"")</f>
        <v/>
      </c>
      <c r="L82" s="11" t="str">
        <f aca="false">IF(A82="","",IF(AND(D82="Direct",ISNUMBER(I82),ISNUMBER(J82)),"Yes","No"))</f>
        <v/>
      </c>
      <c r="M82" s="11" t="str">
        <f aca="false">IF(H82="","",IF(AND(H82&gt;=README!$B$4,H82&lt;=README!$B$5),"Yes","No"))</f>
        <v/>
      </c>
    </row>
    <row r="83" customFormat="false" ht="15" hidden="false" customHeight="false" outlineLevel="0" collapsed="false">
      <c r="K83" s="10" t="str">
        <f aca="false">IF(AND(ISNUMBER(I83),ISNUMBER(J83),I83&gt;0),(J83-I83)/I83,"")</f>
        <v/>
      </c>
      <c r="L83" s="11" t="str">
        <f aca="false">IF(A83="","",IF(AND(D83="Direct",ISNUMBER(I83),ISNUMBER(J83)),"Yes","No"))</f>
        <v/>
      </c>
      <c r="M83" s="11" t="str">
        <f aca="false">IF(H83="","",IF(AND(H83&gt;=README!$B$4,H83&lt;=README!$B$5),"Yes","No"))</f>
        <v/>
      </c>
    </row>
    <row r="84" customFormat="false" ht="15" hidden="false" customHeight="false" outlineLevel="0" collapsed="false">
      <c r="K84" s="10" t="str">
        <f aca="false">IF(AND(ISNUMBER(I84),ISNUMBER(J84),I84&gt;0),(J84-I84)/I84,"")</f>
        <v/>
      </c>
      <c r="L84" s="11" t="str">
        <f aca="false">IF(A84="","",IF(AND(D84="Direct",ISNUMBER(I84),ISNUMBER(J84)),"Yes","No"))</f>
        <v/>
      </c>
      <c r="M84" s="11" t="str">
        <f aca="false">IF(H84="","",IF(AND(H84&gt;=README!$B$4,H84&lt;=README!$B$5),"Yes","No"))</f>
        <v/>
      </c>
    </row>
    <row r="85" customFormat="false" ht="15" hidden="false" customHeight="false" outlineLevel="0" collapsed="false">
      <c r="K85" s="10" t="str">
        <f aca="false">IF(AND(ISNUMBER(I85),ISNUMBER(J85),I85&gt;0),(J85-I85)/I85,"")</f>
        <v/>
      </c>
      <c r="L85" s="11" t="str">
        <f aca="false">IF(A85="","",IF(AND(D85="Direct",ISNUMBER(I85),ISNUMBER(J85)),"Yes","No"))</f>
        <v/>
      </c>
      <c r="M85" s="11" t="str">
        <f aca="false">IF(H85="","",IF(AND(H85&gt;=README!$B$4,H85&lt;=README!$B$5),"Yes","No"))</f>
        <v/>
      </c>
    </row>
    <row r="86" customFormat="false" ht="15" hidden="false" customHeight="false" outlineLevel="0" collapsed="false">
      <c r="K86" s="10" t="str">
        <f aca="false">IF(AND(ISNUMBER(I86),ISNUMBER(J86),I86&gt;0),(J86-I86)/I86,"")</f>
        <v/>
      </c>
      <c r="L86" s="11" t="str">
        <f aca="false">IF(A86="","",IF(AND(D86="Direct",ISNUMBER(I86),ISNUMBER(J86)),"Yes","No"))</f>
        <v/>
      </c>
      <c r="M86" s="11" t="str">
        <f aca="false">IF(H86="","",IF(AND(H86&gt;=README!$B$4,H86&lt;=README!$B$5),"Yes","No"))</f>
        <v/>
      </c>
    </row>
    <row r="87" customFormat="false" ht="15" hidden="false" customHeight="false" outlineLevel="0" collapsed="false">
      <c r="K87" s="10" t="str">
        <f aca="false">IF(AND(ISNUMBER(I87),ISNUMBER(J87),I87&gt;0),(J87-I87)/I87,"")</f>
        <v/>
      </c>
      <c r="L87" s="11" t="str">
        <f aca="false">IF(A87="","",IF(AND(D87="Direct",ISNUMBER(I87),ISNUMBER(J87)),"Yes","No"))</f>
        <v/>
      </c>
      <c r="M87" s="11" t="str">
        <f aca="false">IF(H87="","",IF(AND(H87&gt;=README!$B$4,H87&lt;=README!$B$5),"Yes","No"))</f>
        <v/>
      </c>
    </row>
    <row r="88" customFormat="false" ht="15" hidden="false" customHeight="false" outlineLevel="0" collapsed="false">
      <c r="K88" s="10" t="str">
        <f aca="false">IF(AND(ISNUMBER(I88),ISNUMBER(J88),I88&gt;0),(J88-I88)/I88,"")</f>
        <v/>
      </c>
      <c r="L88" s="11" t="str">
        <f aca="false">IF(A88="","",IF(AND(D88="Direct",ISNUMBER(I88),ISNUMBER(J88)),"Yes","No"))</f>
        <v/>
      </c>
      <c r="M88" s="11" t="str">
        <f aca="false">IF(H88="","",IF(AND(H88&gt;=README!$B$4,H88&lt;=README!$B$5),"Yes","No"))</f>
        <v/>
      </c>
    </row>
    <row r="89" customFormat="false" ht="15" hidden="false" customHeight="false" outlineLevel="0" collapsed="false">
      <c r="K89" s="10" t="str">
        <f aca="false">IF(AND(ISNUMBER(I89),ISNUMBER(J89),I89&gt;0),(J89-I89)/I89,"")</f>
        <v/>
      </c>
      <c r="L89" s="11" t="str">
        <f aca="false">IF(A89="","",IF(AND(D89="Direct",ISNUMBER(I89),ISNUMBER(J89)),"Yes","No"))</f>
        <v/>
      </c>
      <c r="M89" s="11" t="str">
        <f aca="false">IF(H89="","",IF(AND(H89&gt;=README!$B$4,H89&lt;=README!$B$5),"Yes","No"))</f>
        <v/>
      </c>
    </row>
    <row r="90" customFormat="false" ht="15" hidden="false" customHeight="false" outlineLevel="0" collapsed="false">
      <c r="K90" s="10" t="str">
        <f aca="false">IF(AND(ISNUMBER(I90),ISNUMBER(J90),I90&gt;0),(J90-I90)/I90,"")</f>
        <v/>
      </c>
      <c r="L90" s="11" t="str">
        <f aca="false">IF(A90="","",IF(AND(D90="Direct",ISNUMBER(I90),ISNUMBER(J90)),"Yes","No"))</f>
        <v/>
      </c>
      <c r="M90" s="11" t="str">
        <f aca="false">IF(H90="","",IF(AND(H90&gt;=README!$B$4,H90&lt;=README!$B$5),"Yes","No"))</f>
        <v/>
      </c>
    </row>
    <row r="91" customFormat="false" ht="15" hidden="false" customHeight="false" outlineLevel="0" collapsed="false">
      <c r="K91" s="10" t="str">
        <f aca="false">IF(AND(ISNUMBER(I91),ISNUMBER(J91),I91&gt;0),(J91-I91)/I91,"")</f>
        <v/>
      </c>
      <c r="L91" s="11" t="str">
        <f aca="false">IF(A91="","",IF(AND(D91="Direct",ISNUMBER(I91),ISNUMBER(J91)),"Yes","No"))</f>
        <v/>
      </c>
      <c r="M91" s="11" t="str">
        <f aca="false">IF(H91="","",IF(AND(H91&gt;=README!$B$4,H91&lt;=README!$B$5),"Yes","No"))</f>
        <v/>
      </c>
    </row>
    <row r="92" customFormat="false" ht="15" hidden="false" customHeight="false" outlineLevel="0" collapsed="false">
      <c r="K92" s="10" t="str">
        <f aca="false">IF(AND(ISNUMBER(I92),ISNUMBER(J92),I92&gt;0),(J92-I92)/I92,"")</f>
        <v/>
      </c>
      <c r="L92" s="11" t="str">
        <f aca="false">IF(A92="","",IF(AND(D92="Direct",ISNUMBER(I92),ISNUMBER(J92)),"Yes","No"))</f>
        <v/>
      </c>
      <c r="M92" s="11" t="str">
        <f aca="false">IF(H92="","",IF(AND(H92&gt;=README!$B$4,H92&lt;=README!$B$5),"Yes","No"))</f>
        <v/>
      </c>
    </row>
    <row r="93" customFormat="false" ht="15" hidden="false" customHeight="false" outlineLevel="0" collapsed="false">
      <c r="K93" s="10" t="str">
        <f aca="false">IF(AND(ISNUMBER(I93),ISNUMBER(J93),I93&gt;0),(J93-I93)/I93,"")</f>
        <v/>
      </c>
      <c r="L93" s="11" t="str">
        <f aca="false">IF(A93="","",IF(AND(D93="Direct",ISNUMBER(I93),ISNUMBER(J93)),"Yes","No"))</f>
        <v/>
      </c>
      <c r="M93" s="11" t="str">
        <f aca="false">IF(H93="","",IF(AND(H93&gt;=README!$B$4,H93&lt;=README!$B$5),"Yes","No"))</f>
        <v/>
      </c>
    </row>
    <row r="94" customFormat="false" ht="15" hidden="false" customHeight="false" outlineLevel="0" collapsed="false">
      <c r="K94" s="10" t="str">
        <f aca="false">IF(AND(ISNUMBER(I94),ISNUMBER(J94),I94&gt;0),(J94-I94)/I94,"")</f>
        <v/>
      </c>
      <c r="L94" s="11" t="str">
        <f aca="false">IF(A94="","",IF(AND(D94="Direct",ISNUMBER(I94),ISNUMBER(J94)),"Yes","No"))</f>
        <v/>
      </c>
      <c r="M94" s="11" t="str">
        <f aca="false">IF(H94="","",IF(AND(H94&gt;=README!$B$4,H94&lt;=README!$B$5),"Yes","No"))</f>
        <v/>
      </c>
    </row>
    <row r="95" customFormat="false" ht="15" hidden="false" customHeight="false" outlineLevel="0" collapsed="false">
      <c r="K95" s="10" t="str">
        <f aca="false">IF(AND(ISNUMBER(I95),ISNUMBER(J95),I95&gt;0),(J95-I95)/I95,"")</f>
        <v/>
      </c>
      <c r="L95" s="11" t="str">
        <f aca="false">IF(A95="","",IF(AND(D95="Direct",ISNUMBER(I95),ISNUMBER(J95)),"Yes","No"))</f>
        <v/>
      </c>
      <c r="M95" s="11" t="str">
        <f aca="false">IF(H95="","",IF(AND(H95&gt;=README!$B$4,H95&lt;=README!$B$5),"Yes","No"))</f>
        <v/>
      </c>
    </row>
    <row r="96" customFormat="false" ht="15" hidden="false" customHeight="false" outlineLevel="0" collapsed="false">
      <c r="K96" s="10" t="str">
        <f aca="false">IF(AND(ISNUMBER(I96),ISNUMBER(J96),I96&gt;0),(J96-I96)/I96,"")</f>
        <v/>
      </c>
      <c r="L96" s="11" t="str">
        <f aca="false">IF(A96="","",IF(AND(D96="Direct",ISNUMBER(I96),ISNUMBER(J96)),"Yes","No"))</f>
        <v/>
      </c>
      <c r="M96" s="11" t="str">
        <f aca="false">IF(H96="","",IF(AND(H96&gt;=README!$B$4,H96&lt;=README!$B$5),"Yes","No"))</f>
        <v/>
      </c>
    </row>
    <row r="97" customFormat="false" ht="15" hidden="false" customHeight="false" outlineLevel="0" collapsed="false">
      <c r="K97" s="10" t="str">
        <f aca="false">IF(AND(ISNUMBER(I97),ISNUMBER(J97),I97&gt;0),(J97-I97)/I97,"")</f>
        <v/>
      </c>
      <c r="L97" s="11" t="str">
        <f aca="false">IF(A97="","",IF(AND(D97="Direct",ISNUMBER(I97),ISNUMBER(J97)),"Yes","No"))</f>
        <v/>
      </c>
      <c r="M97" s="11" t="str">
        <f aca="false">IF(H97="","",IF(AND(H97&gt;=README!$B$4,H97&lt;=README!$B$5),"Yes","No"))</f>
        <v/>
      </c>
    </row>
    <row r="98" customFormat="false" ht="15" hidden="false" customHeight="false" outlineLevel="0" collapsed="false">
      <c r="K98" s="10" t="str">
        <f aca="false">IF(AND(ISNUMBER(I98),ISNUMBER(J98),I98&gt;0),(J98-I98)/I98,"")</f>
        <v/>
      </c>
      <c r="L98" s="11" t="str">
        <f aca="false">IF(A98="","",IF(AND(D98="Direct",ISNUMBER(I98),ISNUMBER(J98)),"Yes","No"))</f>
        <v/>
      </c>
      <c r="M98" s="11" t="str">
        <f aca="false">IF(H98="","",IF(AND(H98&gt;=README!$B$4,H98&lt;=README!$B$5),"Yes","No"))</f>
        <v/>
      </c>
    </row>
    <row r="99" customFormat="false" ht="15" hidden="false" customHeight="false" outlineLevel="0" collapsed="false">
      <c r="K99" s="10" t="str">
        <f aca="false">IF(AND(ISNUMBER(I99),ISNUMBER(J99),I99&gt;0),(J99-I99)/I99,"")</f>
        <v/>
      </c>
      <c r="L99" s="11" t="str">
        <f aca="false">IF(A99="","",IF(AND(D99="Direct",ISNUMBER(I99),ISNUMBER(J99)),"Yes","No"))</f>
        <v/>
      </c>
      <c r="M99" s="11" t="str">
        <f aca="false">IF(H99="","",IF(AND(H99&gt;=README!$B$4,H99&lt;=README!$B$5),"Yes","No"))</f>
        <v/>
      </c>
    </row>
    <row r="100" customFormat="false" ht="15" hidden="false" customHeight="false" outlineLevel="0" collapsed="false">
      <c r="K100" s="10" t="str">
        <f aca="false">IF(AND(ISNUMBER(I100),ISNUMBER(J100),I100&gt;0),(J100-I100)/I100,"")</f>
        <v/>
      </c>
      <c r="L100" s="11" t="str">
        <f aca="false">IF(A100="","",IF(AND(D100="Direct",ISNUMBER(I100),ISNUMBER(J100)),"Yes","No"))</f>
        <v/>
      </c>
      <c r="M100" s="11" t="str">
        <f aca="false">IF(H100="","",IF(AND(H100&gt;=README!$B$4,H100&lt;=README!$B$5),"Yes","No"))</f>
        <v/>
      </c>
    </row>
    <row r="101" customFormat="false" ht="15" hidden="false" customHeight="false" outlineLevel="0" collapsed="false">
      <c r="K101" s="10" t="str">
        <f aca="false">IF(AND(ISNUMBER(I101),ISNUMBER(J101),I101&gt;0),(J101-I101)/I101,"")</f>
        <v/>
      </c>
      <c r="L101" s="11" t="str">
        <f aca="false">IF(A101="","",IF(AND(D101="Direct",ISNUMBER(I101),ISNUMBER(J101)),"Yes","No"))</f>
        <v/>
      </c>
      <c r="M101" s="11" t="str">
        <f aca="false">IF(H101="","",IF(AND(H101&gt;=README!$B$4,H101&lt;=README!$B$5),"Yes","No"))</f>
        <v/>
      </c>
    </row>
    <row r="102" customFormat="false" ht="15" hidden="false" customHeight="false" outlineLevel="0" collapsed="false">
      <c r="K102" s="10" t="str">
        <f aca="false">IF(AND(ISNUMBER(I102),ISNUMBER(J102),I102&gt;0),(J102-I102)/I102,"")</f>
        <v/>
      </c>
      <c r="L102" s="11" t="str">
        <f aca="false">IF(A102="","",IF(AND(D102="Direct",ISNUMBER(I102),ISNUMBER(J102)),"Yes","No"))</f>
        <v/>
      </c>
      <c r="M102" s="11" t="str">
        <f aca="false">IF(H102="","",IF(AND(H102&gt;=README!$B$4,H102&lt;=README!$B$5),"Yes","No"))</f>
        <v/>
      </c>
    </row>
    <row r="103" customFormat="false" ht="15" hidden="false" customHeight="false" outlineLevel="0" collapsed="false">
      <c r="K103" s="10" t="str">
        <f aca="false">IF(AND(ISNUMBER(I103),ISNUMBER(J103),I103&gt;0),(J103-I103)/I103,"")</f>
        <v/>
      </c>
      <c r="L103" s="11" t="str">
        <f aca="false">IF(A103="","",IF(AND(D103="Direct",ISNUMBER(I103),ISNUMBER(J103)),"Yes","No"))</f>
        <v/>
      </c>
      <c r="M103" s="11" t="str">
        <f aca="false">IF(H103="","",IF(AND(H103&gt;=README!$B$4,H103&lt;=README!$B$5),"Yes","No"))</f>
        <v/>
      </c>
    </row>
    <row r="104" customFormat="false" ht="15" hidden="false" customHeight="false" outlineLevel="0" collapsed="false">
      <c r="K104" s="10" t="str">
        <f aca="false">IF(AND(ISNUMBER(I104),ISNUMBER(J104),I104&gt;0),(J104-I104)/I104,"")</f>
        <v/>
      </c>
      <c r="L104" s="11" t="str">
        <f aca="false">IF(A104="","",IF(AND(D104="Direct",ISNUMBER(I104),ISNUMBER(J104)),"Yes","No"))</f>
        <v/>
      </c>
      <c r="M104" s="11" t="str">
        <f aca="false">IF(H104="","",IF(AND(H104&gt;=README!$B$4,H104&lt;=README!$B$5),"Yes","No"))</f>
        <v/>
      </c>
    </row>
    <row r="105" customFormat="false" ht="15" hidden="false" customHeight="false" outlineLevel="0" collapsed="false">
      <c r="K105" s="10" t="str">
        <f aca="false">IF(AND(ISNUMBER(I105),ISNUMBER(J105),I105&gt;0),(J105-I105)/I105,"")</f>
        <v/>
      </c>
      <c r="L105" s="11" t="str">
        <f aca="false">IF(A105="","",IF(AND(D105="Direct",ISNUMBER(I105),ISNUMBER(J105)),"Yes","No"))</f>
        <v/>
      </c>
      <c r="M105" s="11" t="str">
        <f aca="false">IF(H105="","",IF(AND(H105&gt;=README!$B$4,H105&lt;=README!$B$5),"Yes","No"))</f>
        <v/>
      </c>
    </row>
    <row r="106" customFormat="false" ht="15" hidden="false" customHeight="false" outlineLevel="0" collapsed="false">
      <c r="K106" s="10" t="str">
        <f aca="false">IF(AND(ISNUMBER(I106),ISNUMBER(J106),I106&gt;0),(J106-I106)/I106,"")</f>
        <v/>
      </c>
      <c r="L106" s="11" t="str">
        <f aca="false">IF(A106="","",IF(AND(D106="Direct",ISNUMBER(I106),ISNUMBER(J106)),"Yes","No"))</f>
        <v/>
      </c>
      <c r="M106" s="11" t="str">
        <f aca="false">IF(H106="","",IF(AND(H106&gt;=README!$B$4,H106&lt;=README!$B$5),"Yes","No"))</f>
        <v/>
      </c>
    </row>
    <row r="107" customFormat="false" ht="15" hidden="false" customHeight="false" outlineLevel="0" collapsed="false">
      <c r="K107" s="10" t="str">
        <f aca="false">IF(AND(ISNUMBER(I107),ISNUMBER(J107),I107&gt;0),(J107-I107)/I107,"")</f>
        <v/>
      </c>
      <c r="L107" s="11" t="str">
        <f aca="false">IF(A107="","",IF(AND(D107="Direct",ISNUMBER(I107),ISNUMBER(J107)),"Yes","No"))</f>
        <v/>
      </c>
      <c r="M107" s="11" t="str">
        <f aca="false">IF(H107="","",IF(AND(H107&gt;=README!$B$4,H107&lt;=README!$B$5),"Yes","No"))</f>
        <v/>
      </c>
    </row>
    <row r="108" customFormat="false" ht="15" hidden="false" customHeight="false" outlineLevel="0" collapsed="false">
      <c r="K108" s="10" t="str">
        <f aca="false">IF(AND(ISNUMBER(I108),ISNUMBER(J108),I108&gt;0),(J108-I108)/I108,"")</f>
        <v/>
      </c>
      <c r="L108" s="11" t="str">
        <f aca="false">IF(A108="","",IF(AND(D108="Direct",ISNUMBER(I108),ISNUMBER(J108)),"Yes","No"))</f>
        <v/>
      </c>
      <c r="M108" s="11" t="str">
        <f aca="false">IF(H108="","",IF(AND(H108&gt;=README!$B$4,H108&lt;=README!$B$5),"Yes","No"))</f>
        <v/>
      </c>
    </row>
    <row r="109" customFormat="false" ht="15" hidden="false" customHeight="false" outlineLevel="0" collapsed="false">
      <c r="K109" s="10" t="str">
        <f aca="false">IF(AND(ISNUMBER(I109),ISNUMBER(J109),I109&gt;0),(J109-I109)/I109,"")</f>
        <v/>
      </c>
      <c r="L109" s="11" t="str">
        <f aca="false">IF(A109="","",IF(AND(D109="Direct",ISNUMBER(I109),ISNUMBER(J109)),"Yes","No"))</f>
        <v/>
      </c>
      <c r="M109" s="11" t="str">
        <f aca="false">IF(H109="","",IF(AND(H109&gt;=README!$B$4,H109&lt;=README!$B$5),"Yes","No"))</f>
        <v/>
      </c>
    </row>
    <row r="110" customFormat="false" ht="15" hidden="false" customHeight="false" outlineLevel="0" collapsed="false">
      <c r="K110" s="10" t="str">
        <f aca="false">IF(AND(ISNUMBER(I110),ISNUMBER(J110),I110&gt;0),(J110-I110)/I110,"")</f>
        <v/>
      </c>
      <c r="L110" s="11" t="str">
        <f aca="false">IF(A110="","",IF(AND(D110="Direct",ISNUMBER(I110),ISNUMBER(J110)),"Yes","No"))</f>
        <v/>
      </c>
      <c r="M110" s="11" t="str">
        <f aca="false">IF(H110="","",IF(AND(H110&gt;=README!$B$4,H110&lt;=README!$B$5),"Yes","No"))</f>
        <v/>
      </c>
    </row>
    <row r="111" customFormat="false" ht="15" hidden="false" customHeight="false" outlineLevel="0" collapsed="false">
      <c r="K111" s="10" t="str">
        <f aca="false">IF(AND(ISNUMBER(I111),ISNUMBER(J111),I111&gt;0),(J111-I111)/I111,"")</f>
        <v/>
      </c>
      <c r="L111" s="11" t="str">
        <f aca="false">IF(A111="","",IF(AND(D111="Direct",ISNUMBER(I111),ISNUMBER(J111)),"Yes","No"))</f>
        <v/>
      </c>
      <c r="M111" s="11" t="str">
        <f aca="false">IF(H111="","",IF(AND(H111&gt;=README!$B$4,H111&lt;=README!$B$5),"Yes","No"))</f>
        <v/>
      </c>
    </row>
    <row r="112" customFormat="false" ht="15" hidden="false" customHeight="false" outlineLevel="0" collapsed="false">
      <c r="K112" s="10" t="str">
        <f aca="false">IF(AND(ISNUMBER(I112),ISNUMBER(J112),I112&gt;0),(J112-I112)/I112,"")</f>
        <v/>
      </c>
      <c r="L112" s="11" t="str">
        <f aca="false">IF(A112="","",IF(AND(D112="Direct",ISNUMBER(I112),ISNUMBER(J112)),"Yes","No"))</f>
        <v/>
      </c>
      <c r="M112" s="11" t="str">
        <f aca="false">IF(H112="","",IF(AND(H112&gt;=README!$B$4,H112&lt;=README!$B$5),"Yes","No"))</f>
        <v/>
      </c>
    </row>
    <row r="113" customFormat="false" ht="15" hidden="false" customHeight="false" outlineLevel="0" collapsed="false">
      <c r="K113" s="10" t="str">
        <f aca="false">IF(AND(ISNUMBER(I113),ISNUMBER(J113),I113&gt;0),(J113-I113)/I113,"")</f>
        <v/>
      </c>
      <c r="L113" s="11" t="str">
        <f aca="false">IF(A113="","",IF(AND(D113="Direct",ISNUMBER(I113),ISNUMBER(J113)),"Yes","No"))</f>
        <v/>
      </c>
      <c r="M113" s="11" t="str">
        <f aca="false">IF(H113="","",IF(AND(H113&gt;=README!$B$4,H113&lt;=README!$B$5),"Yes","No"))</f>
        <v/>
      </c>
    </row>
    <row r="114" customFormat="false" ht="15" hidden="false" customHeight="false" outlineLevel="0" collapsed="false">
      <c r="K114" s="10" t="str">
        <f aca="false">IF(AND(ISNUMBER(I114),ISNUMBER(J114),I114&gt;0),(J114-I114)/I114,"")</f>
        <v/>
      </c>
      <c r="L114" s="11" t="str">
        <f aca="false">IF(A114="","",IF(AND(D114="Direct",ISNUMBER(I114),ISNUMBER(J114)),"Yes","No"))</f>
        <v/>
      </c>
      <c r="M114" s="11" t="str">
        <f aca="false">IF(H114="","",IF(AND(H114&gt;=README!$B$4,H114&lt;=README!$B$5),"Yes","No"))</f>
        <v/>
      </c>
    </row>
    <row r="115" customFormat="false" ht="15" hidden="false" customHeight="false" outlineLevel="0" collapsed="false">
      <c r="K115" s="10" t="str">
        <f aca="false">IF(AND(ISNUMBER(I115),ISNUMBER(J115),I115&gt;0),(J115-I115)/I115,"")</f>
        <v/>
      </c>
      <c r="L115" s="11" t="str">
        <f aca="false">IF(A115="","",IF(AND(D115="Direct",ISNUMBER(I115),ISNUMBER(J115)),"Yes","No"))</f>
        <v/>
      </c>
      <c r="M115" s="11" t="str">
        <f aca="false">IF(H115="","",IF(AND(H115&gt;=README!$B$4,H115&lt;=README!$B$5),"Yes","No"))</f>
        <v/>
      </c>
    </row>
    <row r="116" customFormat="false" ht="15" hidden="false" customHeight="false" outlineLevel="0" collapsed="false">
      <c r="K116" s="10" t="str">
        <f aca="false">IF(AND(ISNUMBER(I116),ISNUMBER(J116),I116&gt;0),(J116-I116)/I116,"")</f>
        <v/>
      </c>
      <c r="L116" s="11" t="str">
        <f aca="false">IF(A116="","",IF(AND(D116="Direct",ISNUMBER(I116),ISNUMBER(J116)),"Yes","No"))</f>
        <v/>
      </c>
      <c r="M116" s="11" t="str">
        <f aca="false">IF(H116="","",IF(AND(H116&gt;=README!$B$4,H116&lt;=README!$B$5),"Yes","No"))</f>
        <v/>
      </c>
    </row>
    <row r="117" customFormat="false" ht="15" hidden="false" customHeight="false" outlineLevel="0" collapsed="false">
      <c r="K117" s="10" t="str">
        <f aca="false">IF(AND(ISNUMBER(I117),ISNUMBER(J117),I117&gt;0),(J117-I117)/I117,"")</f>
        <v/>
      </c>
      <c r="L117" s="11" t="str">
        <f aca="false">IF(A117="","",IF(AND(D117="Direct",ISNUMBER(I117),ISNUMBER(J117)),"Yes","No"))</f>
        <v/>
      </c>
      <c r="M117" s="11" t="str">
        <f aca="false">IF(H117="","",IF(AND(H117&gt;=README!$B$4,H117&lt;=README!$B$5),"Yes","No"))</f>
        <v/>
      </c>
    </row>
    <row r="118" customFormat="false" ht="15" hidden="false" customHeight="false" outlineLevel="0" collapsed="false">
      <c r="K118" s="10" t="str">
        <f aca="false">IF(AND(ISNUMBER(I118),ISNUMBER(J118),I118&gt;0),(J118-I118)/I118,"")</f>
        <v/>
      </c>
      <c r="L118" s="11" t="str">
        <f aca="false">IF(A118="","",IF(AND(D118="Direct",ISNUMBER(I118),ISNUMBER(J118)),"Yes","No"))</f>
        <v/>
      </c>
      <c r="M118" s="11" t="str">
        <f aca="false">IF(H118="","",IF(AND(H118&gt;=README!$B$4,H118&lt;=README!$B$5),"Yes","No"))</f>
        <v/>
      </c>
    </row>
    <row r="119" customFormat="false" ht="15" hidden="false" customHeight="false" outlineLevel="0" collapsed="false">
      <c r="K119" s="10" t="str">
        <f aca="false">IF(AND(ISNUMBER(I119),ISNUMBER(J119),I119&gt;0),(J119-I119)/I119,"")</f>
        <v/>
      </c>
      <c r="L119" s="11" t="str">
        <f aca="false">IF(A119="","",IF(AND(D119="Direct",ISNUMBER(I119),ISNUMBER(J119)),"Yes","No"))</f>
        <v/>
      </c>
      <c r="M119" s="11" t="str">
        <f aca="false">IF(H119="","",IF(AND(H119&gt;=README!$B$4,H119&lt;=README!$B$5),"Yes","No"))</f>
        <v/>
      </c>
    </row>
    <row r="120" customFormat="false" ht="15" hidden="false" customHeight="false" outlineLevel="0" collapsed="false">
      <c r="K120" s="10" t="str">
        <f aca="false">IF(AND(ISNUMBER(I120),ISNUMBER(J120),I120&gt;0),(J120-I120)/I120,"")</f>
        <v/>
      </c>
      <c r="L120" s="11" t="str">
        <f aca="false">IF(A120="","",IF(AND(D120="Direct",ISNUMBER(I120),ISNUMBER(J120)),"Yes","No"))</f>
        <v/>
      </c>
      <c r="M120" s="11" t="str">
        <f aca="false">IF(H120="","",IF(AND(H120&gt;=README!$B$4,H120&lt;=README!$B$5),"Yes","No"))</f>
        <v/>
      </c>
    </row>
    <row r="121" customFormat="false" ht="15" hidden="false" customHeight="false" outlineLevel="0" collapsed="false">
      <c r="K121" s="10" t="str">
        <f aca="false">IF(AND(ISNUMBER(I121),ISNUMBER(J121),I121&gt;0),(J121-I121)/I121,"")</f>
        <v/>
      </c>
      <c r="L121" s="11" t="str">
        <f aca="false">IF(A121="","",IF(AND(D121="Direct",ISNUMBER(I121),ISNUMBER(J121)),"Yes","No"))</f>
        <v/>
      </c>
      <c r="M121" s="11" t="str">
        <f aca="false">IF(H121="","",IF(AND(H121&gt;=README!$B$4,H121&lt;=README!$B$5),"Yes","No"))</f>
        <v/>
      </c>
    </row>
    <row r="122" customFormat="false" ht="15" hidden="false" customHeight="false" outlineLevel="0" collapsed="false">
      <c r="K122" s="10" t="str">
        <f aca="false">IF(AND(ISNUMBER(I122),ISNUMBER(J122),I122&gt;0),(J122-I122)/I122,"")</f>
        <v/>
      </c>
      <c r="L122" s="11" t="str">
        <f aca="false">IF(A122="","",IF(AND(D122="Direct",ISNUMBER(I122),ISNUMBER(J122)),"Yes","No"))</f>
        <v/>
      </c>
      <c r="M122" s="11" t="str">
        <f aca="false">IF(H122="","",IF(AND(H122&gt;=README!$B$4,H122&lt;=README!$B$5),"Yes","No"))</f>
        <v/>
      </c>
    </row>
    <row r="123" customFormat="false" ht="15" hidden="false" customHeight="false" outlineLevel="0" collapsed="false">
      <c r="K123" s="10" t="str">
        <f aca="false">IF(AND(ISNUMBER(I123),ISNUMBER(J123),I123&gt;0),(J123-I123)/I123,"")</f>
        <v/>
      </c>
      <c r="L123" s="11" t="str">
        <f aca="false">IF(A123="","",IF(AND(D123="Direct",ISNUMBER(I123),ISNUMBER(J123)),"Yes","No"))</f>
        <v/>
      </c>
      <c r="M123" s="11" t="str">
        <f aca="false">IF(H123="","",IF(AND(H123&gt;=README!$B$4,H123&lt;=README!$B$5),"Yes","No"))</f>
        <v/>
      </c>
    </row>
    <row r="124" customFormat="false" ht="15" hidden="false" customHeight="false" outlineLevel="0" collapsed="false">
      <c r="K124" s="10" t="str">
        <f aca="false">IF(AND(ISNUMBER(I124),ISNUMBER(J124),I124&gt;0),(J124-I124)/I124,"")</f>
        <v/>
      </c>
      <c r="L124" s="11" t="str">
        <f aca="false">IF(A124="","",IF(AND(D124="Direct",ISNUMBER(I124),ISNUMBER(J124)),"Yes","No"))</f>
        <v/>
      </c>
      <c r="M124" s="11" t="str">
        <f aca="false">IF(H124="","",IF(AND(H124&gt;=README!$B$4,H124&lt;=README!$B$5),"Yes","No"))</f>
        <v/>
      </c>
    </row>
    <row r="125" customFormat="false" ht="15" hidden="false" customHeight="false" outlineLevel="0" collapsed="false">
      <c r="K125" s="10" t="str">
        <f aca="false">IF(AND(ISNUMBER(I125),ISNUMBER(J125),I125&gt;0),(J125-I125)/I125,"")</f>
        <v/>
      </c>
      <c r="L125" s="11" t="str">
        <f aca="false">IF(A125="","",IF(AND(D125="Direct",ISNUMBER(I125),ISNUMBER(J125)),"Yes","No"))</f>
        <v/>
      </c>
      <c r="M125" s="11" t="str">
        <f aca="false">IF(H125="","",IF(AND(H125&gt;=README!$B$4,H125&lt;=README!$B$5),"Yes","No"))</f>
        <v/>
      </c>
    </row>
    <row r="126" customFormat="false" ht="15" hidden="false" customHeight="false" outlineLevel="0" collapsed="false">
      <c r="K126" s="10" t="str">
        <f aca="false">IF(AND(ISNUMBER(I126),ISNUMBER(J126),I126&gt;0),(J126-I126)/I126,"")</f>
        <v/>
      </c>
      <c r="L126" s="11" t="str">
        <f aca="false">IF(A126="","",IF(AND(D126="Direct",ISNUMBER(I126),ISNUMBER(J126)),"Yes","No"))</f>
        <v/>
      </c>
      <c r="M126" s="11" t="str">
        <f aca="false">IF(H126="","",IF(AND(H126&gt;=README!$B$4,H126&lt;=README!$B$5),"Yes","No"))</f>
        <v/>
      </c>
    </row>
    <row r="127" customFormat="false" ht="15" hidden="false" customHeight="false" outlineLevel="0" collapsed="false">
      <c r="K127" s="10" t="str">
        <f aca="false">IF(AND(ISNUMBER(I127),ISNUMBER(J127),I127&gt;0),(J127-I127)/I127,"")</f>
        <v/>
      </c>
      <c r="L127" s="11" t="str">
        <f aca="false">IF(A127="","",IF(AND(D127="Direct",ISNUMBER(I127),ISNUMBER(J127)),"Yes","No"))</f>
        <v/>
      </c>
      <c r="M127" s="11" t="str">
        <f aca="false">IF(H127="","",IF(AND(H127&gt;=README!$B$4,H127&lt;=README!$B$5),"Yes","No"))</f>
        <v/>
      </c>
    </row>
    <row r="128" customFormat="false" ht="15" hidden="false" customHeight="false" outlineLevel="0" collapsed="false">
      <c r="K128" s="10" t="str">
        <f aca="false">IF(AND(ISNUMBER(I128),ISNUMBER(J128),I128&gt;0),(J128-I128)/I128,"")</f>
        <v/>
      </c>
      <c r="L128" s="11" t="str">
        <f aca="false">IF(A128="","",IF(AND(D128="Direct",ISNUMBER(I128),ISNUMBER(J128)),"Yes","No"))</f>
        <v/>
      </c>
      <c r="M128" s="11" t="str">
        <f aca="false">IF(H128="","",IF(AND(H128&gt;=README!$B$4,H128&lt;=README!$B$5),"Yes","No"))</f>
        <v/>
      </c>
    </row>
    <row r="129" customFormat="false" ht="15" hidden="false" customHeight="false" outlineLevel="0" collapsed="false">
      <c r="K129" s="10" t="str">
        <f aca="false">IF(AND(ISNUMBER(I129),ISNUMBER(J129),I129&gt;0),(J129-I129)/I129,"")</f>
        <v/>
      </c>
      <c r="L129" s="11" t="str">
        <f aca="false">IF(A129="","",IF(AND(D129="Direct",ISNUMBER(I129),ISNUMBER(J129)),"Yes","No"))</f>
        <v/>
      </c>
      <c r="M129" s="11" t="str">
        <f aca="false">IF(H129="","",IF(AND(H129&gt;=README!$B$4,H129&lt;=README!$B$5),"Yes","No"))</f>
        <v/>
      </c>
    </row>
    <row r="130" customFormat="false" ht="15" hidden="false" customHeight="false" outlineLevel="0" collapsed="false">
      <c r="K130" s="10" t="str">
        <f aca="false">IF(AND(ISNUMBER(I130),ISNUMBER(J130),I130&gt;0),(J130-I130)/I130,"")</f>
        <v/>
      </c>
      <c r="L130" s="11" t="str">
        <f aca="false">IF(A130="","",IF(AND(D130="Direct",ISNUMBER(I130),ISNUMBER(J130)),"Yes","No"))</f>
        <v/>
      </c>
      <c r="M130" s="11" t="str">
        <f aca="false">IF(H130="","",IF(AND(H130&gt;=README!$B$4,H130&lt;=README!$B$5),"Yes","No"))</f>
        <v/>
      </c>
    </row>
    <row r="131" customFormat="false" ht="15" hidden="false" customHeight="false" outlineLevel="0" collapsed="false">
      <c r="K131" s="10" t="str">
        <f aca="false">IF(AND(ISNUMBER(I131),ISNUMBER(J131),I131&gt;0),(J131-I131)/I131,"")</f>
        <v/>
      </c>
      <c r="L131" s="11" t="str">
        <f aca="false">IF(A131="","",IF(AND(D131="Direct",ISNUMBER(I131),ISNUMBER(J131)),"Yes","No"))</f>
        <v/>
      </c>
      <c r="M131" s="11" t="str">
        <f aca="false">IF(H131="","",IF(AND(H131&gt;=README!$B$4,H131&lt;=README!$B$5),"Yes","No"))</f>
        <v/>
      </c>
    </row>
    <row r="132" customFormat="false" ht="15" hidden="false" customHeight="false" outlineLevel="0" collapsed="false">
      <c r="K132" s="10" t="str">
        <f aca="false">IF(AND(ISNUMBER(I132),ISNUMBER(J132),I132&gt;0),(J132-I132)/I132,"")</f>
        <v/>
      </c>
      <c r="L132" s="11" t="str">
        <f aca="false">IF(A132="","",IF(AND(D132="Direct",ISNUMBER(I132),ISNUMBER(J132)),"Yes","No"))</f>
        <v/>
      </c>
      <c r="M132" s="11" t="str">
        <f aca="false">IF(H132="","",IF(AND(H132&gt;=README!$B$4,H132&lt;=README!$B$5),"Yes","No"))</f>
        <v/>
      </c>
    </row>
    <row r="133" customFormat="false" ht="15" hidden="false" customHeight="false" outlineLevel="0" collapsed="false">
      <c r="K133" s="10" t="str">
        <f aca="false">IF(AND(ISNUMBER(I133),ISNUMBER(J133),I133&gt;0),(J133-I133)/I133,"")</f>
        <v/>
      </c>
      <c r="L133" s="11" t="str">
        <f aca="false">IF(A133="","",IF(AND(D133="Direct",ISNUMBER(I133),ISNUMBER(J133)),"Yes","No"))</f>
        <v/>
      </c>
      <c r="M133" s="11" t="str">
        <f aca="false">IF(H133="","",IF(AND(H133&gt;=README!$B$4,H133&lt;=README!$B$5),"Yes","No"))</f>
        <v/>
      </c>
    </row>
    <row r="134" customFormat="false" ht="15" hidden="false" customHeight="false" outlineLevel="0" collapsed="false">
      <c r="K134" s="10" t="str">
        <f aca="false">IF(AND(ISNUMBER(I134),ISNUMBER(J134),I134&gt;0),(J134-I134)/I134,"")</f>
        <v/>
      </c>
      <c r="L134" s="11" t="str">
        <f aca="false">IF(A134="","",IF(AND(D134="Direct",ISNUMBER(I134),ISNUMBER(J134)),"Yes","No"))</f>
        <v/>
      </c>
      <c r="M134" s="11" t="str">
        <f aca="false">IF(H134="","",IF(AND(H134&gt;=README!$B$4,H134&lt;=README!$B$5),"Yes","No"))</f>
        <v/>
      </c>
    </row>
    <row r="135" customFormat="false" ht="15" hidden="false" customHeight="false" outlineLevel="0" collapsed="false">
      <c r="K135" s="10" t="str">
        <f aca="false">IF(AND(ISNUMBER(I135),ISNUMBER(J135),I135&gt;0),(J135-I135)/I135,"")</f>
        <v/>
      </c>
      <c r="L135" s="11" t="str">
        <f aca="false">IF(A135="","",IF(AND(D135="Direct",ISNUMBER(I135),ISNUMBER(J135)),"Yes","No"))</f>
        <v/>
      </c>
      <c r="M135" s="11" t="str">
        <f aca="false">IF(H135="","",IF(AND(H135&gt;=README!$B$4,H135&lt;=README!$B$5),"Yes","No"))</f>
        <v/>
      </c>
    </row>
    <row r="136" customFormat="false" ht="15" hidden="false" customHeight="false" outlineLevel="0" collapsed="false">
      <c r="K136" s="10" t="str">
        <f aca="false">IF(AND(ISNUMBER(I136),ISNUMBER(J136),I136&gt;0),(J136-I136)/I136,"")</f>
        <v/>
      </c>
      <c r="L136" s="11" t="str">
        <f aca="false">IF(A136="","",IF(AND(D136="Direct",ISNUMBER(I136),ISNUMBER(J136)),"Yes","No"))</f>
        <v/>
      </c>
      <c r="M136" s="11" t="str">
        <f aca="false">IF(H136="","",IF(AND(H136&gt;=README!$B$4,H136&lt;=README!$B$5),"Yes","No"))</f>
        <v/>
      </c>
    </row>
    <row r="137" customFormat="false" ht="15" hidden="false" customHeight="false" outlineLevel="0" collapsed="false">
      <c r="K137" s="10" t="str">
        <f aca="false">IF(AND(ISNUMBER(I137),ISNUMBER(J137),I137&gt;0),(J137-I137)/I137,"")</f>
        <v/>
      </c>
      <c r="L137" s="11" t="str">
        <f aca="false">IF(A137="","",IF(AND(D137="Direct",ISNUMBER(I137),ISNUMBER(J137)),"Yes","No"))</f>
        <v/>
      </c>
      <c r="M137" s="11" t="str">
        <f aca="false">IF(H137="","",IF(AND(H137&gt;=README!$B$4,H137&lt;=README!$B$5),"Yes","No"))</f>
        <v/>
      </c>
    </row>
    <row r="138" customFormat="false" ht="15" hidden="false" customHeight="false" outlineLevel="0" collapsed="false">
      <c r="K138" s="10" t="str">
        <f aca="false">IF(AND(ISNUMBER(I138),ISNUMBER(J138),I138&gt;0),(J138-I138)/I138,"")</f>
        <v/>
      </c>
      <c r="L138" s="11" t="str">
        <f aca="false">IF(A138="","",IF(AND(D138="Direct",ISNUMBER(I138),ISNUMBER(J138)),"Yes","No"))</f>
        <v/>
      </c>
      <c r="M138" s="11" t="str">
        <f aca="false">IF(H138="","",IF(AND(H138&gt;=README!$B$4,H138&lt;=README!$B$5),"Yes","No"))</f>
        <v/>
      </c>
    </row>
    <row r="139" customFormat="false" ht="15" hidden="false" customHeight="false" outlineLevel="0" collapsed="false">
      <c r="K139" s="10" t="str">
        <f aca="false">IF(AND(ISNUMBER(I139),ISNUMBER(J139),I139&gt;0),(J139-I139)/I139,"")</f>
        <v/>
      </c>
      <c r="L139" s="11" t="str">
        <f aca="false">IF(A139="","",IF(AND(D139="Direct",ISNUMBER(I139),ISNUMBER(J139)),"Yes","No"))</f>
        <v/>
      </c>
      <c r="M139" s="11" t="str">
        <f aca="false">IF(H139="","",IF(AND(H139&gt;=README!$B$4,H139&lt;=README!$B$5),"Yes","No"))</f>
        <v/>
      </c>
    </row>
    <row r="140" customFormat="false" ht="15" hidden="false" customHeight="false" outlineLevel="0" collapsed="false">
      <c r="K140" s="10" t="str">
        <f aca="false">IF(AND(ISNUMBER(I140),ISNUMBER(J140),I140&gt;0),(J140-I140)/I140,"")</f>
        <v/>
      </c>
      <c r="L140" s="11" t="str">
        <f aca="false">IF(A140="","",IF(AND(D140="Direct",ISNUMBER(I140),ISNUMBER(J140)),"Yes","No"))</f>
        <v/>
      </c>
      <c r="M140" s="11" t="str">
        <f aca="false">IF(H140="","",IF(AND(H140&gt;=README!$B$4,H140&lt;=README!$B$5),"Yes","No"))</f>
        <v/>
      </c>
    </row>
    <row r="141" customFormat="false" ht="15" hidden="false" customHeight="false" outlineLevel="0" collapsed="false">
      <c r="K141" s="10" t="str">
        <f aca="false">IF(AND(ISNUMBER(I141),ISNUMBER(J141),I141&gt;0),(J141-I141)/I141,"")</f>
        <v/>
      </c>
      <c r="L141" s="11" t="str">
        <f aca="false">IF(A141="","",IF(AND(D141="Direct",ISNUMBER(I141),ISNUMBER(J141)),"Yes","No"))</f>
        <v/>
      </c>
      <c r="M141" s="11" t="str">
        <f aca="false">IF(H141="","",IF(AND(H141&gt;=README!$B$4,H141&lt;=README!$B$5),"Yes","No"))</f>
        <v/>
      </c>
    </row>
    <row r="142" customFormat="false" ht="15" hidden="false" customHeight="false" outlineLevel="0" collapsed="false">
      <c r="K142" s="10" t="str">
        <f aca="false">IF(AND(ISNUMBER(I142),ISNUMBER(J142),I142&gt;0),(J142-I142)/I142,"")</f>
        <v/>
      </c>
      <c r="L142" s="11" t="str">
        <f aca="false">IF(A142="","",IF(AND(D142="Direct",ISNUMBER(I142),ISNUMBER(J142)),"Yes","No"))</f>
        <v/>
      </c>
      <c r="M142" s="11" t="str">
        <f aca="false">IF(H142="","",IF(AND(H142&gt;=README!$B$4,H142&lt;=README!$B$5),"Yes","No"))</f>
        <v/>
      </c>
    </row>
    <row r="143" customFormat="false" ht="15" hidden="false" customHeight="false" outlineLevel="0" collapsed="false">
      <c r="K143" s="10" t="str">
        <f aca="false">IF(AND(ISNUMBER(I143),ISNUMBER(J143),I143&gt;0),(J143-I143)/I143,"")</f>
        <v/>
      </c>
      <c r="L143" s="11" t="str">
        <f aca="false">IF(A143="","",IF(AND(D143="Direct",ISNUMBER(I143),ISNUMBER(J143)),"Yes","No"))</f>
        <v/>
      </c>
      <c r="M143" s="11" t="str">
        <f aca="false">IF(H143="","",IF(AND(H143&gt;=README!$B$4,H143&lt;=README!$B$5),"Yes","No"))</f>
        <v/>
      </c>
    </row>
    <row r="144" customFormat="false" ht="15" hidden="false" customHeight="false" outlineLevel="0" collapsed="false">
      <c r="K144" s="10" t="str">
        <f aca="false">IF(AND(ISNUMBER(I144),ISNUMBER(J144),I144&gt;0),(J144-I144)/I144,"")</f>
        <v/>
      </c>
      <c r="L144" s="11" t="str">
        <f aca="false">IF(A144="","",IF(AND(D144="Direct",ISNUMBER(I144),ISNUMBER(J144)),"Yes","No"))</f>
        <v/>
      </c>
      <c r="M144" s="11" t="str">
        <f aca="false">IF(H144="","",IF(AND(H144&gt;=README!$B$4,H144&lt;=README!$B$5),"Yes","No"))</f>
        <v/>
      </c>
    </row>
    <row r="145" customFormat="false" ht="15" hidden="false" customHeight="false" outlineLevel="0" collapsed="false">
      <c r="K145" s="10" t="str">
        <f aca="false">IF(AND(ISNUMBER(I145),ISNUMBER(J145),I145&gt;0),(J145-I145)/I145,"")</f>
        <v/>
      </c>
      <c r="L145" s="11" t="str">
        <f aca="false">IF(A145="","",IF(AND(D145="Direct",ISNUMBER(I145),ISNUMBER(J145)),"Yes","No"))</f>
        <v/>
      </c>
      <c r="M145" s="11" t="str">
        <f aca="false">IF(H145="","",IF(AND(H145&gt;=README!$B$4,H145&lt;=README!$B$5),"Yes","No"))</f>
        <v/>
      </c>
    </row>
    <row r="146" customFormat="false" ht="15" hidden="false" customHeight="false" outlineLevel="0" collapsed="false">
      <c r="K146" s="10" t="str">
        <f aca="false">IF(AND(ISNUMBER(I146),ISNUMBER(J146),I146&gt;0),(J146-I146)/I146,"")</f>
        <v/>
      </c>
      <c r="L146" s="11" t="str">
        <f aca="false">IF(A146="","",IF(AND(D146="Direct",ISNUMBER(I146),ISNUMBER(J146)),"Yes","No"))</f>
        <v/>
      </c>
      <c r="M146" s="11" t="str">
        <f aca="false">IF(H146="","",IF(AND(H146&gt;=README!$B$4,H146&lt;=README!$B$5),"Yes","No"))</f>
        <v/>
      </c>
    </row>
    <row r="147" customFormat="false" ht="15" hidden="false" customHeight="false" outlineLevel="0" collapsed="false">
      <c r="K147" s="10" t="str">
        <f aca="false">IF(AND(ISNUMBER(I147),ISNUMBER(J147),I147&gt;0),(J147-I147)/I147,"")</f>
        <v/>
      </c>
      <c r="L147" s="11" t="str">
        <f aca="false">IF(A147="","",IF(AND(D147="Direct",ISNUMBER(I147),ISNUMBER(J147)),"Yes","No"))</f>
        <v/>
      </c>
      <c r="M147" s="11" t="str">
        <f aca="false">IF(H147="","",IF(AND(H147&gt;=README!$B$4,H147&lt;=README!$B$5),"Yes","No"))</f>
        <v/>
      </c>
    </row>
    <row r="148" customFormat="false" ht="15" hidden="false" customHeight="false" outlineLevel="0" collapsed="false">
      <c r="K148" s="10" t="str">
        <f aca="false">IF(AND(ISNUMBER(I148),ISNUMBER(J148),I148&gt;0),(J148-I148)/I148,"")</f>
        <v/>
      </c>
      <c r="L148" s="11" t="str">
        <f aca="false">IF(A148="","",IF(AND(D148="Direct",ISNUMBER(I148),ISNUMBER(J148)),"Yes","No"))</f>
        <v/>
      </c>
      <c r="M148" s="11" t="str">
        <f aca="false">IF(H148="","",IF(AND(H148&gt;=README!$B$4,H148&lt;=README!$B$5),"Yes","No"))</f>
        <v/>
      </c>
    </row>
    <row r="149" customFormat="false" ht="15" hidden="false" customHeight="false" outlineLevel="0" collapsed="false">
      <c r="K149" s="10" t="str">
        <f aca="false">IF(AND(ISNUMBER(I149),ISNUMBER(J149),I149&gt;0),(J149-I149)/I149,"")</f>
        <v/>
      </c>
      <c r="L149" s="11" t="str">
        <f aca="false">IF(A149="","",IF(AND(D149="Direct",ISNUMBER(I149),ISNUMBER(J149)),"Yes","No"))</f>
        <v/>
      </c>
      <c r="M149" s="11" t="str">
        <f aca="false">IF(H149="","",IF(AND(H149&gt;=README!$B$4,H149&lt;=README!$B$5),"Yes","No"))</f>
        <v/>
      </c>
    </row>
    <row r="150" customFormat="false" ht="15" hidden="false" customHeight="false" outlineLevel="0" collapsed="false">
      <c r="K150" s="10" t="str">
        <f aca="false">IF(AND(ISNUMBER(I150),ISNUMBER(J150),I150&gt;0),(J150-I150)/I150,"")</f>
        <v/>
      </c>
      <c r="L150" s="11" t="str">
        <f aca="false">IF(A150="","",IF(AND(D150="Direct",ISNUMBER(I150),ISNUMBER(J150)),"Yes","No"))</f>
        <v/>
      </c>
      <c r="M150" s="11" t="str">
        <f aca="false">IF(H150="","",IF(AND(H150&gt;=README!$B$4,H150&lt;=README!$B$5),"Yes","No"))</f>
        <v/>
      </c>
    </row>
    <row r="151" customFormat="false" ht="15" hidden="false" customHeight="false" outlineLevel="0" collapsed="false">
      <c r="K151" s="10" t="str">
        <f aca="false">IF(AND(ISNUMBER(I151),ISNUMBER(J151),I151&gt;0),(J151-I151)/I151,"")</f>
        <v/>
      </c>
      <c r="L151" s="11" t="str">
        <f aca="false">IF(A151="","",IF(AND(D151="Direct",ISNUMBER(I151),ISNUMBER(J151)),"Yes","No"))</f>
        <v/>
      </c>
      <c r="M151" s="11" t="str">
        <f aca="false">IF(H151="","",IF(AND(H151&gt;=README!$B$4,H151&lt;=README!$B$5),"Yes","No"))</f>
        <v/>
      </c>
    </row>
    <row r="152" customFormat="false" ht="15" hidden="false" customHeight="false" outlineLevel="0" collapsed="false">
      <c r="K152" s="10" t="str">
        <f aca="false">IF(AND(ISNUMBER(I152),ISNUMBER(J152),I152&gt;0),(J152-I152)/I152,"")</f>
        <v/>
      </c>
      <c r="L152" s="11" t="str">
        <f aca="false">IF(A152="","",IF(AND(D152="Direct",ISNUMBER(I152),ISNUMBER(J152)),"Yes","No"))</f>
        <v/>
      </c>
      <c r="M152" s="11" t="str">
        <f aca="false">IF(H152="","",IF(AND(H152&gt;=README!$B$4,H152&lt;=README!$B$5),"Yes","No"))</f>
        <v/>
      </c>
    </row>
    <row r="153" customFormat="false" ht="15" hidden="false" customHeight="false" outlineLevel="0" collapsed="false">
      <c r="K153" s="10" t="str">
        <f aca="false">IF(AND(ISNUMBER(I153),ISNUMBER(J153),I153&gt;0),(J153-I153)/I153,"")</f>
        <v/>
      </c>
      <c r="L153" s="11" t="str">
        <f aca="false">IF(A153="","",IF(AND(D153="Direct",ISNUMBER(I153),ISNUMBER(J153)),"Yes","No"))</f>
        <v/>
      </c>
      <c r="M153" s="11" t="str">
        <f aca="false">IF(H153="","",IF(AND(H153&gt;=README!$B$4,H153&lt;=README!$B$5),"Yes","No"))</f>
        <v/>
      </c>
    </row>
    <row r="154" customFormat="false" ht="15" hidden="false" customHeight="false" outlineLevel="0" collapsed="false">
      <c r="K154" s="10" t="str">
        <f aca="false">IF(AND(ISNUMBER(I154),ISNUMBER(J154),I154&gt;0),(J154-I154)/I154,"")</f>
        <v/>
      </c>
      <c r="L154" s="11" t="str">
        <f aca="false">IF(A154="","",IF(AND(D154="Direct",ISNUMBER(I154),ISNUMBER(J154)),"Yes","No"))</f>
        <v/>
      </c>
      <c r="M154" s="11" t="str">
        <f aca="false">IF(H154="","",IF(AND(H154&gt;=README!$B$4,H154&lt;=README!$B$5),"Yes","No"))</f>
        <v/>
      </c>
    </row>
    <row r="155" customFormat="false" ht="15" hidden="false" customHeight="false" outlineLevel="0" collapsed="false">
      <c r="K155" s="10" t="str">
        <f aca="false">IF(AND(ISNUMBER(I155),ISNUMBER(J155),I155&gt;0),(J155-I155)/I155,"")</f>
        <v/>
      </c>
      <c r="L155" s="11" t="str">
        <f aca="false">IF(A155="","",IF(AND(D155="Direct",ISNUMBER(I155),ISNUMBER(J155)),"Yes","No"))</f>
        <v/>
      </c>
      <c r="M155" s="11" t="str">
        <f aca="false">IF(H155="","",IF(AND(H155&gt;=README!$B$4,H155&lt;=README!$B$5),"Yes","No"))</f>
        <v/>
      </c>
    </row>
    <row r="156" customFormat="false" ht="15" hidden="false" customHeight="false" outlineLevel="0" collapsed="false">
      <c r="K156" s="10" t="str">
        <f aca="false">IF(AND(ISNUMBER(I156),ISNUMBER(J156),I156&gt;0),(J156-I156)/I156,"")</f>
        <v/>
      </c>
      <c r="L156" s="11" t="str">
        <f aca="false">IF(A156="","",IF(AND(D156="Direct",ISNUMBER(I156),ISNUMBER(J156)),"Yes","No"))</f>
        <v/>
      </c>
      <c r="M156" s="11" t="str">
        <f aca="false">IF(H156="","",IF(AND(H156&gt;=README!$B$4,H156&lt;=README!$B$5),"Yes","No"))</f>
        <v/>
      </c>
    </row>
    <row r="157" customFormat="false" ht="15" hidden="false" customHeight="false" outlineLevel="0" collapsed="false">
      <c r="K157" s="10" t="str">
        <f aca="false">IF(AND(ISNUMBER(I157),ISNUMBER(J157),I157&gt;0),(J157-I157)/I157,"")</f>
        <v/>
      </c>
      <c r="L157" s="11" t="str">
        <f aca="false">IF(A157="","",IF(AND(D157="Direct",ISNUMBER(I157),ISNUMBER(J157)),"Yes","No"))</f>
        <v/>
      </c>
      <c r="M157" s="11" t="str">
        <f aca="false">IF(H157="","",IF(AND(H157&gt;=README!$B$4,H157&lt;=README!$B$5),"Yes","No"))</f>
        <v/>
      </c>
    </row>
    <row r="158" customFormat="false" ht="15" hidden="false" customHeight="false" outlineLevel="0" collapsed="false">
      <c r="K158" s="10" t="str">
        <f aca="false">IF(AND(ISNUMBER(I158),ISNUMBER(J158),I158&gt;0),(J158-I158)/I158,"")</f>
        <v/>
      </c>
      <c r="L158" s="11" t="str">
        <f aca="false">IF(A158="","",IF(AND(D158="Direct",ISNUMBER(I158),ISNUMBER(J158)),"Yes","No"))</f>
        <v/>
      </c>
      <c r="M158" s="11" t="str">
        <f aca="false">IF(H158="","",IF(AND(H158&gt;=README!$B$4,H158&lt;=README!$B$5),"Yes","No"))</f>
        <v/>
      </c>
    </row>
    <row r="159" customFormat="false" ht="15" hidden="false" customHeight="false" outlineLevel="0" collapsed="false">
      <c r="K159" s="10" t="str">
        <f aca="false">IF(AND(ISNUMBER(I159),ISNUMBER(J159),I159&gt;0),(J159-I159)/I159,"")</f>
        <v/>
      </c>
      <c r="L159" s="11" t="str">
        <f aca="false">IF(A159="","",IF(AND(D159="Direct",ISNUMBER(I159),ISNUMBER(J159)),"Yes","No"))</f>
        <v/>
      </c>
      <c r="M159" s="11" t="str">
        <f aca="false">IF(H159="","",IF(AND(H159&gt;=README!$B$4,H159&lt;=README!$B$5),"Yes","No"))</f>
        <v/>
      </c>
    </row>
    <row r="160" customFormat="false" ht="15" hidden="false" customHeight="false" outlineLevel="0" collapsed="false">
      <c r="K160" s="10" t="str">
        <f aca="false">IF(AND(ISNUMBER(I160),ISNUMBER(J160),I160&gt;0),(J160-I160)/I160,"")</f>
        <v/>
      </c>
      <c r="L160" s="11" t="str">
        <f aca="false">IF(A160="","",IF(AND(D160="Direct",ISNUMBER(I160),ISNUMBER(J160)),"Yes","No"))</f>
        <v/>
      </c>
      <c r="M160" s="11" t="str">
        <f aca="false">IF(H160="","",IF(AND(H160&gt;=README!$B$4,H160&lt;=README!$B$5),"Yes","No"))</f>
        <v/>
      </c>
    </row>
    <row r="161" customFormat="false" ht="15" hidden="false" customHeight="false" outlineLevel="0" collapsed="false">
      <c r="K161" s="10" t="str">
        <f aca="false">IF(AND(ISNUMBER(I161),ISNUMBER(J161),I161&gt;0),(J161-I161)/I161,"")</f>
        <v/>
      </c>
      <c r="L161" s="11" t="str">
        <f aca="false">IF(A161="","",IF(AND(D161="Direct",ISNUMBER(I161),ISNUMBER(J161)),"Yes","No"))</f>
        <v/>
      </c>
      <c r="M161" s="11" t="str">
        <f aca="false">IF(H161="","",IF(AND(H161&gt;=README!$B$4,H161&lt;=README!$B$5),"Yes","No"))</f>
        <v/>
      </c>
    </row>
    <row r="162" customFormat="false" ht="15" hidden="false" customHeight="false" outlineLevel="0" collapsed="false">
      <c r="K162" s="10" t="str">
        <f aca="false">IF(AND(ISNUMBER(I162),ISNUMBER(J162),I162&gt;0),(J162-I162)/I162,"")</f>
        <v/>
      </c>
      <c r="L162" s="11" t="str">
        <f aca="false">IF(A162="","",IF(AND(D162="Direct",ISNUMBER(I162),ISNUMBER(J162)),"Yes","No"))</f>
        <v/>
      </c>
      <c r="M162" s="11" t="str">
        <f aca="false">IF(H162="","",IF(AND(H162&gt;=README!$B$4,H162&lt;=README!$B$5),"Yes","No"))</f>
        <v/>
      </c>
    </row>
    <row r="163" customFormat="false" ht="15" hidden="false" customHeight="false" outlineLevel="0" collapsed="false">
      <c r="K163" s="10" t="str">
        <f aca="false">IF(AND(ISNUMBER(I163),ISNUMBER(J163),I163&gt;0),(J163-I163)/I163,"")</f>
        <v/>
      </c>
      <c r="L163" s="11" t="str">
        <f aca="false">IF(A163="","",IF(AND(D163="Direct",ISNUMBER(I163),ISNUMBER(J163)),"Yes","No"))</f>
        <v/>
      </c>
      <c r="M163" s="11" t="str">
        <f aca="false">IF(H163="","",IF(AND(H163&gt;=README!$B$4,H163&lt;=README!$B$5),"Yes","No"))</f>
        <v/>
      </c>
    </row>
    <row r="164" customFormat="false" ht="15" hidden="false" customHeight="false" outlineLevel="0" collapsed="false">
      <c r="K164" s="10" t="str">
        <f aca="false">IF(AND(ISNUMBER(I164),ISNUMBER(J164),I164&gt;0),(J164-I164)/I164,"")</f>
        <v/>
      </c>
      <c r="L164" s="11" t="str">
        <f aca="false">IF(A164="","",IF(AND(D164="Direct",ISNUMBER(I164),ISNUMBER(J164)),"Yes","No"))</f>
        <v/>
      </c>
      <c r="M164" s="11" t="str">
        <f aca="false">IF(H164="","",IF(AND(H164&gt;=README!$B$4,H164&lt;=README!$B$5),"Yes","No"))</f>
        <v/>
      </c>
    </row>
    <row r="165" customFormat="false" ht="15" hidden="false" customHeight="false" outlineLevel="0" collapsed="false">
      <c r="K165" s="10" t="str">
        <f aca="false">IF(AND(ISNUMBER(I165),ISNUMBER(J165),I165&gt;0),(J165-I165)/I165,"")</f>
        <v/>
      </c>
      <c r="L165" s="11" t="str">
        <f aca="false">IF(A165="","",IF(AND(D165="Direct",ISNUMBER(I165),ISNUMBER(J165)),"Yes","No"))</f>
        <v/>
      </c>
      <c r="M165" s="11" t="str">
        <f aca="false">IF(H165="","",IF(AND(H165&gt;=README!$B$4,H165&lt;=README!$B$5),"Yes","No"))</f>
        <v/>
      </c>
    </row>
    <row r="166" customFormat="false" ht="15" hidden="false" customHeight="false" outlineLevel="0" collapsed="false">
      <c r="K166" s="10" t="str">
        <f aca="false">IF(AND(ISNUMBER(I166),ISNUMBER(J166),I166&gt;0),(J166-I166)/I166,"")</f>
        <v/>
      </c>
      <c r="L166" s="11" t="str">
        <f aca="false">IF(A166="","",IF(AND(D166="Direct",ISNUMBER(I166),ISNUMBER(J166)),"Yes","No"))</f>
        <v/>
      </c>
      <c r="M166" s="11" t="str">
        <f aca="false">IF(H166="","",IF(AND(H166&gt;=README!$B$4,H166&lt;=README!$B$5),"Yes","No"))</f>
        <v/>
      </c>
    </row>
    <row r="167" customFormat="false" ht="15" hidden="false" customHeight="false" outlineLevel="0" collapsed="false">
      <c r="K167" s="10" t="str">
        <f aca="false">IF(AND(ISNUMBER(I167),ISNUMBER(J167),I167&gt;0),(J167-I167)/I167,"")</f>
        <v/>
      </c>
      <c r="L167" s="11" t="str">
        <f aca="false">IF(A167="","",IF(AND(D167="Direct",ISNUMBER(I167),ISNUMBER(J167)),"Yes","No"))</f>
        <v/>
      </c>
      <c r="M167" s="11" t="str">
        <f aca="false">IF(H167="","",IF(AND(H167&gt;=README!$B$4,H167&lt;=README!$B$5),"Yes","No"))</f>
        <v/>
      </c>
    </row>
    <row r="168" customFormat="false" ht="15" hidden="false" customHeight="false" outlineLevel="0" collapsed="false">
      <c r="K168" s="10" t="str">
        <f aca="false">IF(AND(ISNUMBER(I168),ISNUMBER(J168),I168&gt;0),(J168-I168)/I168,"")</f>
        <v/>
      </c>
      <c r="L168" s="11" t="str">
        <f aca="false">IF(A168="","",IF(AND(D168="Direct",ISNUMBER(I168),ISNUMBER(J168)),"Yes","No"))</f>
        <v/>
      </c>
      <c r="M168" s="11" t="str">
        <f aca="false">IF(H168="","",IF(AND(H168&gt;=README!$B$4,H168&lt;=README!$B$5),"Yes","No"))</f>
        <v/>
      </c>
    </row>
    <row r="169" customFormat="false" ht="15" hidden="false" customHeight="false" outlineLevel="0" collapsed="false">
      <c r="K169" s="10" t="str">
        <f aca="false">IF(AND(ISNUMBER(I169),ISNUMBER(J169),I169&gt;0),(J169-I169)/I169,"")</f>
        <v/>
      </c>
      <c r="L169" s="11" t="str">
        <f aca="false">IF(A169="","",IF(AND(D169="Direct",ISNUMBER(I169),ISNUMBER(J169)),"Yes","No"))</f>
        <v/>
      </c>
      <c r="M169" s="11" t="str">
        <f aca="false">IF(H169="","",IF(AND(H169&gt;=README!$B$4,H169&lt;=README!$B$5),"Yes","No"))</f>
        <v/>
      </c>
    </row>
    <row r="170" customFormat="false" ht="15" hidden="false" customHeight="false" outlineLevel="0" collapsed="false">
      <c r="K170" s="10" t="str">
        <f aca="false">IF(AND(ISNUMBER(I170),ISNUMBER(J170),I170&gt;0),(J170-I170)/I170,"")</f>
        <v/>
      </c>
      <c r="L170" s="11" t="str">
        <f aca="false">IF(A170="","",IF(AND(D170="Direct",ISNUMBER(I170),ISNUMBER(J170)),"Yes","No"))</f>
        <v/>
      </c>
      <c r="M170" s="11" t="str">
        <f aca="false">IF(H170="","",IF(AND(H170&gt;=README!$B$4,H170&lt;=README!$B$5),"Yes","No"))</f>
        <v/>
      </c>
    </row>
    <row r="171" customFormat="false" ht="15" hidden="false" customHeight="false" outlineLevel="0" collapsed="false">
      <c r="K171" s="10" t="str">
        <f aca="false">IF(AND(ISNUMBER(I171),ISNUMBER(J171),I171&gt;0),(J171-I171)/I171,"")</f>
        <v/>
      </c>
      <c r="L171" s="11" t="str">
        <f aca="false">IF(A171="","",IF(AND(D171="Direct",ISNUMBER(I171),ISNUMBER(J171)),"Yes","No"))</f>
        <v/>
      </c>
      <c r="M171" s="11" t="str">
        <f aca="false">IF(H171="","",IF(AND(H171&gt;=README!$B$4,H171&lt;=README!$B$5),"Yes","No"))</f>
        <v/>
      </c>
    </row>
    <row r="172" customFormat="false" ht="15" hidden="false" customHeight="false" outlineLevel="0" collapsed="false">
      <c r="K172" s="10" t="str">
        <f aca="false">IF(AND(ISNUMBER(I172),ISNUMBER(J172),I172&gt;0),(J172-I172)/I172,"")</f>
        <v/>
      </c>
      <c r="L172" s="11" t="str">
        <f aca="false">IF(A172="","",IF(AND(D172="Direct",ISNUMBER(I172),ISNUMBER(J172)),"Yes","No"))</f>
        <v/>
      </c>
      <c r="M172" s="11" t="str">
        <f aca="false">IF(H172="","",IF(AND(H172&gt;=README!$B$4,H172&lt;=README!$B$5),"Yes","No"))</f>
        <v/>
      </c>
    </row>
    <row r="173" customFormat="false" ht="15" hidden="false" customHeight="false" outlineLevel="0" collapsed="false">
      <c r="K173" s="10" t="str">
        <f aca="false">IF(AND(ISNUMBER(I173),ISNUMBER(J173),I173&gt;0),(J173-I173)/I173,"")</f>
        <v/>
      </c>
      <c r="L173" s="11" t="str">
        <f aca="false">IF(A173="","",IF(AND(D173="Direct",ISNUMBER(I173),ISNUMBER(J173)),"Yes","No"))</f>
        <v/>
      </c>
      <c r="M173" s="11" t="str">
        <f aca="false">IF(H173="","",IF(AND(H173&gt;=README!$B$4,H173&lt;=README!$B$5),"Yes","No"))</f>
        <v/>
      </c>
    </row>
    <row r="174" customFormat="false" ht="15" hidden="false" customHeight="false" outlineLevel="0" collapsed="false">
      <c r="K174" s="10" t="str">
        <f aca="false">IF(AND(ISNUMBER(I174),ISNUMBER(J174),I174&gt;0),(J174-I174)/I174,"")</f>
        <v/>
      </c>
      <c r="L174" s="11" t="str">
        <f aca="false">IF(A174="","",IF(AND(D174="Direct",ISNUMBER(I174),ISNUMBER(J174)),"Yes","No"))</f>
        <v/>
      </c>
      <c r="M174" s="11" t="str">
        <f aca="false">IF(H174="","",IF(AND(H174&gt;=README!$B$4,H174&lt;=README!$B$5),"Yes","No"))</f>
        <v/>
      </c>
    </row>
    <row r="175" customFormat="false" ht="15" hidden="false" customHeight="false" outlineLevel="0" collapsed="false">
      <c r="K175" s="10" t="str">
        <f aca="false">IF(AND(ISNUMBER(I175),ISNUMBER(J175),I175&gt;0),(J175-I175)/I175,"")</f>
        <v/>
      </c>
      <c r="L175" s="11" t="str">
        <f aca="false">IF(A175="","",IF(AND(D175="Direct",ISNUMBER(I175),ISNUMBER(J175)),"Yes","No"))</f>
        <v/>
      </c>
      <c r="M175" s="11" t="str">
        <f aca="false">IF(H175="","",IF(AND(H175&gt;=README!$B$4,H175&lt;=README!$B$5),"Yes","No"))</f>
        <v/>
      </c>
    </row>
    <row r="176" customFormat="false" ht="15" hidden="false" customHeight="false" outlineLevel="0" collapsed="false">
      <c r="K176" s="10" t="str">
        <f aca="false">IF(AND(ISNUMBER(I176),ISNUMBER(J176),I176&gt;0),(J176-I176)/I176,"")</f>
        <v/>
      </c>
      <c r="L176" s="11" t="str">
        <f aca="false">IF(A176="","",IF(AND(D176="Direct",ISNUMBER(I176),ISNUMBER(J176)),"Yes","No"))</f>
        <v/>
      </c>
      <c r="M176" s="11" t="str">
        <f aca="false">IF(H176="","",IF(AND(H176&gt;=README!$B$4,H176&lt;=README!$B$5),"Yes","No"))</f>
        <v/>
      </c>
    </row>
    <row r="177" customFormat="false" ht="15" hidden="false" customHeight="false" outlineLevel="0" collapsed="false">
      <c r="K177" s="10" t="str">
        <f aca="false">IF(AND(ISNUMBER(I177),ISNUMBER(J177),I177&gt;0),(J177-I177)/I177,"")</f>
        <v/>
      </c>
      <c r="L177" s="11" t="str">
        <f aca="false">IF(A177="","",IF(AND(D177="Direct",ISNUMBER(I177),ISNUMBER(J177)),"Yes","No"))</f>
        <v/>
      </c>
      <c r="M177" s="11" t="str">
        <f aca="false">IF(H177="","",IF(AND(H177&gt;=README!$B$4,H177&lt;=README!$B$5),"Yes","No"))</f>
        <v/>
      </c>
    </row>
    <row r="178" customFormat="false" ht="15" hidden="false" customHeight="false" outlineLevel="0" collapsed="false">
      <c r="K178" s="10" t="str">
        <f aca="false">IF(AND(ISNUMBER(I178),ISNUMBER(J178),I178&gt;0),(J178-I178)/I178,"")</f>
        <v/>
      </c>
      <c r="L178" s="11" t="str">
        <f aca="false">IF(A178="","",IF(AND(D178="Direct",ISNUMBER(I178),ISNUMBER(J178)),"Yes","No"))</f>
        <v/>
      </c>
      <c r="M178" s="11" t="str">
        <f aca="false">IF(H178="","",IF(AND(H178&gt;=README!$B$4,H178&lt;=README!$B$5),"Yes","No"))</f>
        <v/>
      </c>
    </row>
    <row r="179" customFormat="false" ht="15" hidden="false" customHeight="false" outlineLevel="0" collapsed="false">
      <c r="K179" s="10" t="str">
        <f aca="false">IF(AND(ISNUMBER(I179),ISNUMBER(J179),I179&gt;0),(J179-I179)/I179,"")</f>
        <v/>
      </c>
      <c r="L179" s="11" t="str">
        <f aca="false">IF(A179="","",IF(AND(D179="Direct",ISNUMBER(I179),ISNUMBER(J179)),"Yes","No"))</f>
        <v/>
      </c>
      <c r="M179" s="11" t="str">
        <f aca="false">IF(H179="","",IF(AND(H179&gt;=README!$B$4,H179&lt;=README!$B$5),"Yes","No"))</f>
        <v/>
      </c>
    </row>
    <row r="180" customFormat="false" ht="15" hidden="false" customHeight="false" outlineLevel="0" collapsed="false">
      <c r="K180" s="10" t="str">
        <f aca="false">IF(AND(ISNUMBER(I180),ISNUMBER(J180),I180&gt;0),(J180-I180)/I180,"")</f>
        <v/>
      </c>
      <c r="L180" s="11" t="str">
        <f aca="false">IF(A180="","",IF(AND(D180="Direct",ISNUMBER(I180),ISNUMBER(J180)),"Yes","No"))</f>
        <v/>
      </c>
      <c r="M180" s="11" t="str">
        <f aca="false">IF(H180="","",IF(AND(H180&gt;=README!$B$4,H180&lt;=README!$B$5),"Yes","No"))</f>
        <v/>
      </c>
    </row>
    <row r="181" customFormat="false" ht="15" hidden="false" customHeight="false" outlineLevel="0" collapsed="false">
      <c r="K181" s="10" t="str">
        <f aca="false">IF(AND(ISNUMBER(I181),ISNUMBER(J181),I181&gt;0),(J181-I181)/I181,"")</f>
        <v/>
      </c>
      <c r="L181" s="11" t="str">
        <f aca="false">IF(A181="","",IF(AND(D181="Direct",ISNUMBER(I181),ISNUMBER(J181)),"Yes","No"))</f>
        <v/>
      </c>
      <c r="M181" s="11" t="str">
        <f aca="false">IF(H181="","",IF(AND(H181&gt;=README!$B$4,H181&lt;=README!$B$5),"Yes","No"))</f>
        <v/>
      </c>
    </row>
    <row r="182" customFormat="false" ht="15" hidden="false" customHeight="false" outlineLevel="0" collapsed="false">
      <c r="K182" s="10" t="str">
        <f aca="false">IF(AND(ISNUMBER(I182),ISNUMBER(J182),I182&gt;0),(J182-I182)/I182,"")</f>
        <v/>
      </c>
      <c r="L182" s="11" t="str">
        <f aca="false">IF(A182="","",IF(AND(D182="Direct",ISNUMBER(I182),ISNUMBER(J182)),"Yes","No"))</f>
        <v/>
      </c>
      <c r="M182" s="11" t="str">
        <f aca="false">IF(H182="","",IF(AND(H182&gt;=README!$B$4,H182&lt;=README!$B$5),"Yes","No"))</f>
        <v/>
      </c>
    </row>
    <row r="183" customFormat="false" ht="15" hidden="false" customHeight="false" outlineLevel="0" collapsed="false">
      <c r="K183" s="10" t="str">
        <f aca="false">IF(AND(ISNUMBER(I183),ISNUMBER(J183),I183&gt;0),(J183-I183)/I183,"")</f>
        <v/>
      </c>
      <c r="L183" s="11" t="str">
        <f aca="false">IF(A183="","",IF(AND(D183="Direct",ISNUMBER(I183),ISNUMBER(J183)),"Yes","No"))</f>
        <v/>
      </c>
      <c r="M183" s="11" t="str">
        <f aca="false">IF(H183="","",IF(AND(H183&gt;=README!$B$4,H183&lt;=README!$B$5),"Yes","No"))</f>
        <v/>
      </c>
    </row>
    <row r="184" customFormat="false" ht="15" hidden="false" customHeight="false" outlineLevel="0" collapsed="false">
      <c r="K184" s="10" t="str">
        <f aca="false">IF(AND(ISNUMBER(I184),ISNUMBER(J184),I184&gt;0),(J184-I184)/I184,"")</f>
        <v/>
      </c>
      <c r="L184" s="11" t="str">
        <f aca="false">IF(A184="","",IF(AND(D184="Direct",ISNUMBER(I184),ISNUMBER(J184)),"Yes","No"))</f>
        <v/>
      </c>
      <c r="M184" s="11" t="str">
        <f aca="false">IF(H184="","",IF(AND(H184&gt;=README!$B$4,H184&lt;=README!$B$5),"Yes","No"))</f>
        <v/>
      </c>
    </row>
    <row r="185" customFormat="false" ht="15" hidden="false" customHeight="false" outlineLevel="0" collapsed="false">
      <c r="K185" s="10" t="str">
        <f aca="false">IF(AND(ISNUMBER(I185),ISNUMBER(J185),I185&gt;0),(J185-I185)/I185,"")</f>
        <v/>
      </c>
      <c r="L185" s="11" t="str">
        <f aca="false">IF(A185="","",IF(AND(D185="Direct",ISNUMBER(I185),ISNUMBER(J185)),"Yes","No"))</f>
        <v/>
      </c>
      <c r="M185" s="11" t="str">
        <f aca="false">IF(H185="","",IF(AND(H185&gt;=README!$B$4,H185&lt;=README!$B$5),"Yes","No"))</f>
        <v/>
      </c>
    </row>
    <row r="186" customFormat="false" ht="15" hidden="false" customHeight="false" outlineLevel="0" collapsed="false">
      <c r="K186" s="10" t="str">
        <f aca="false">IF(AND(ISNUMBER(I186),ISNUMBER(J186),I186&gt;0),(J186-I186)/I186,"")</f>
        <v/>
      </c>
      <c r="L186" s="11" t="str">
        <f aca="false">IF(A186="","",IF(AND(D186="Direct",ISNUMBER(I186),ISNUMBER(J186)),"Yes","No"))</f>
        <v/>
      </c>
      <c r="M186" s="11" t="str">
        <f aca="false">IF(H186="","",IF(AND(H186&gt;=README!$B$4,H186&lt;=README!$B$5),"Yes","No"))</f>
        <v/>
      </c>
    </row>
    <row r="187" customFormat="false" ht="15" hidden="false" customHeight="false" outlineLevel="0" collapsed="false">
      <c r="K187" s="10" t="str">
        <f aca="false">IF(AND(ISNUMBER(I187),ISNUMBER(J187),I187&gt;0),(J187-I187)/I187,"")</f>
        <v/>
      </c>
      <c r="L187" s="11" t="str">
        <f aca="false">IF(A187="","",IF(AND(D187="Direct",ISNUMBER(I187),ISNUMBER(J187)),"Yes","No"))</f>
        <v/>
      </c>
      <c r="M187" s="11" t="str">
        <f aca="false">IF(H187="","",IF(AND(H187&gt;=README!$B$4,H187&lt;=README!$B$5),"Yes","No"))</f>
        <v/>
      </c>
    </row>
    <row r="188" customFormat="false" ht="15" hidden="false" customHeight="false" outlineLevel="0" collapsed="false">
      <c r="K188" s="10" t="str">
        <f aca="false">IF(AND(ISNUMBER(I188),ISNUMBER(J188),I188&gt;0),(J188-I188)/I188,"")</f>
        <v/>
      </c>
      <c r="L188" s="11" t="str">
        <f aca="false">IF(A188="","",IF(AND(D188="Direct",ISNUMBER(I188),ISNUMBER(J188)),"Yes","No"))</f>
        <v/>
      </c>
      <c r="M188" s="11" t="str">
        <f aca="false">IF(H188="","",IF(AND(H188&gt;=README!$B$4,H188&lt;=README!$B$5),"Yes","No"))</f>
        <v/>
      </c>
    </row>
    <row r="189" customFormat="false" ht="15" hidden="false" customHeight="false" outlineLevel="0" collapsed="false">
      <c r="K189" s="10" t="str">
        <f aca="false">IF(AND(ISNUMBER(I189),ISNUMBER(J189),I189&gt;0),(J189-I189)/I189,"")</f>
        <v/>
      </c>
      <c r="L189" s="11" t="str">
        <f aca="false">IF(A189="","",IF(AND(D189="Direct",ISNUMBER(I189),ISNUMBER(J189)),"Yes","No"))</f>
        <v/>
      </c>
      <c r="M189" s="11" t="str">
        <f aca="false">IF(H189="","",IF(AND(H189&gt;=README!$B$4,H189&lt;=README!$B$5),"Yes","No"))</f>
        <v/>
      </c>
    </row>
    <row r="190" customFormat="false" ht="15" hidden="false" customHeight="false" outlineLevel="0" collapsed="false">
      <c r="K190" s="10" t="str">
        <f aca="false">IF(AND(ISNUMBER(I190),ISNUMBER(J190),I190&gt;0),(J190-I190)/I190,"")</f>
        <v/>
      </c>
      <c r="L190" s="11" t="str">
        <f aca="false">IF(A190="","",IF(AND(D190="Direct",ISNUMBER(I190),ISNUMBER(J190)),"Yes","No"))</f>
        <v/>
      </c>
      <c r="M190" s="11" t="str">
        <f aca="false">IF(H190="","",IF(AND(H190&gt;=README!$B$4,H190&lt;=README!$B$5),"Yes","No"))</f>
        <v/>
      </c>
    </row>
    <row r="191" customFormat="false" ht="15" hidden="false" customHeight="false" outlineLevel="0" collapsed="false">
      <c r="K191" s="10" t="str">
        <f aca="false">IF(AND(ISNUMBER(I191),ISNUMBER(J191),I191&gt;0),(J191-I191)/I191,"")</f>
        <v/>
      </c>
      <c r="L191" s="11" t="str">
        <f aca="false">IF(A191="","",IF(AND(D191="Direct",ISNUMBER(I191),ISNUMBER(J191)),"Yes","No"))</f>
        <v/>
      </c>
      <c r="M191" s="11" t="str">
        <f aca="false">IF(H191="","",IF(AND(H191&gt;=README!$B$4,H191&lt;=README!$B$5),"Yes","No"))</f>
        <v/>
      </c>
    </row>
    <row r="192" customFormat="false" ht="15" hidden="false" customHeight="false" outlineLevel="0" collapsed="false">
      <c r="K192" s="10" t="str">
        <f aca="false">IF(AND(ISNUMBER(I192),ISNUMBER(J192),I192&gt;0),(J192-I192)/I192,"")</f>
        <v/>
      </c>
      <c r="L192" s="11" t="str">
        <f aca="false">IF(A192="","",IF(AND(D192="Direct",ISNUMBER(I192),ISNUMBER(J192)),"Yes","No"))</f>
        <v/>
      </c>
      <c r="M192" s="11" t="str">
        <f aca="false">IF(H192="","",IF(AND(H192&gt;=README!$B$4,H192&lt;=README!$B$5),"Yes","No"))</f>
        <v/>
      </c>
    </row>
    <row r="193" customFormat="false" ht="15" hidden="false" customHeight="false" outlineLevel="0" collapsed="false">
      <c r="K193" s="10" t="str">
        <f aca="false">IF(AND(ISNUMBER(I193),ISNUMBER(J193),I193&gt;0),(J193-I193)/I193,"")</f>
        <v/>
      </c>
      <c r="L193" s="11" t="str">
        <f aca="false">IF(A193="","",IF(AND(D193="Direct",ISNUMBER(I193),ISNUMBER(J193)),"Yes","No"))</f>
        <v/>
      </c>
      <c r="M193" s="11" t="str">
        <f aca="false">IF(H193="","",IF(AND(H193&gt;=README!$B$4,H193&lt;=README!$B$5),"Yes","No"))</f>
        <v/>
      </c>
    </row>
    <row r="194" customFormat="false" ht="15" hidden="false" customHeight="false" outlineLevel="0" collapsed="false">
      <c r="K194" s="10" t="str">
        <f aca="false">IF(AND(ISNUMBER(I194),ISNUMBER(J194),I194&gt;0),(J194-I194)/I194,"")</f>
        <v/>
      </c>
      <c r="L194" s="11" t="str">
        <f aca="false">IF(A194="","",IF(AND(D194="Direct",ISNUMBER(I194),ISNUMBER(J194)),"Yes","No"))</f>
        <v/>
      </c>
      <c r="M194" s="11" t="str">
        <f aca="false">IF(H194="","",IF(AND(H194&gt;=README!$B$4,H194&lt;=README!$B$5),"Yes","No"))</f>
        <v/>
      </c>
    </row>
    <row r="195" customFormat="false" ht="15" hidden="false" customHeight="false" outlineLevel="0" collapsed="false">
      <c r="K195" s="10" t="str">
        <f aca="false">IF(AND(ISNUMBER(I195),ISNUMBER(J195),I195&gt;0),(J195-I195)/I195,"")</f>
        <v/>
      </c>
      <c r="L195" s="11" t="str">
        <f aca="false">IF(A195="","",IF(AND(D195="Direct",ISNUMBER(I195),ISNUMBER(J195)),"Yes","No"))</f>
        <v/>
      </c>
      <c r="M195" s="11" t="str">
        <f aca="false">IF(H195="","",IF(AND(H195&gt;=README!$B$4,H195&lt;=README!$B$5),"Yes","No"))</f>
        <v/>
      </c>
    </row>
    <row r="196" customFormat="false" ht="15" hidden="false" customHeight="false" outlineLevel="0" collapsed="false">
      <c r="K196" s="10" t="str">
        <f aca="false">IF(AND(ISNUMBER(I196),ISNUMBER(J196),I196&gt;0),(J196-I196)/I196,"")</f>
        <v/>
      </c>
      <c r="L196" s="11" t="str">
        <f aca="false">IF(A196="","",IF(AND(D196="Direct",ISNUMBER(I196),ISNUMBER(J196)),"Yes","No"))</f>
        <v/>
      </c>
      <c r="M196" s="11" t="str">
        <f aca="false">IF(H196="","",IF(AND(H196&gt;=README!$B$4,H196&lt;=README!$B$5),"Yes","No"))</f>
        <v/>
      </c>
    </row>
    <row r="197" customFormat="false" ht="15" hidden="false" customHeight="false" outlineLevel="0" collapsed="false">
      <c r="K197" s="10" t="str">
        <f aca="false">IF(AND(ISNUMBER(I197),ISNUMBER(J197),I197&gt;0),(J197-I197)/I197,"")</f>
        <v/>
      </c>
      <c r="L197" s="11" t="str">
        <f aca="false">IF(A197="","",IF(AND(D197="Direct",ISNUMBER(I197),ISNUMBER(J197)),"Yes","No"))</f>
        <v/>
      </c>
      <c r="M197" s="11" t="str">
        <f aca="false">IF(H197="","",IF(AND(H197&gt;=README!$B$4,H197&lt;=README!$B$5),"Yes","No"))</f>
        <v/>
      </c>
    </row>
    <row r="198" customFormat="false" ht="15" hidden="false" customHeight="false" outlineLevel="0" collapsed="false">
      <c r="K198" s="10" t="str">
        <f aca="false">IF(AND(ISNUMBER(I198),ISNUMBER(J198),I198&gt;0),(J198-I198)/I198,"")</f>
        <v/>
      </c>
      <c r="L198" s="11" t="str">
        <f aca="false">IF(A198="","",IF(AND(D198="Direct",ISNUMBER(I198),ISNUMBER(J198)),"Yes","No"))</f>
        <v/>
      </c>
      <c r="M198" s="11" t="str">
        <f aca="false">IF(H198="","",IF(AND(H198&gt;=README!$B$4,H198&lt;=README!$B$5),"Yes","No"))</f>
        <v/>
      </c>
    </row>
    <row r="199" customFormat="false" ht="15" hidden="false" customHeight="false" outlineLevel="0" collapsed="false">
      <c r="K199" s="10" t="str">
        <f aca="false">IF(AND(ISNUMBER(I199),ISNUMBER(J199),I199&gt;0),(J199-I199)/I199,"")</f>
        <v/>
      </c>
      <c r="L199" s="11" t="str">
        <f aca="false">IF(A199="","",IF(AND(D199="Direct",ISNUMBER(I199),ISNUMBER(J199)),"Yes","No"))</f>
        <v/>
      </c>
      <c r="M199" s="11" t="str">
        <f aca="false">IF(H199="","",IF(AND(H199&gt;=README!$B$4,H199&lt;=README!$B$5),"Yes","No"))</f>
        <v/>
      </c>
    </row>
    <row r="200" customFormat="false" ht="15" hidden="false" customHeight="false" outlineLevel="0" collapsed="false">
      <c r="K200" s="10" t="str">
        <f aca="false">IF(AND(ISNUMBER(I200),ISNUMBER(J200),I200&gt;0),(J200-I200)/I200,"")</f>
        <v/>
      </c>
      <c r="L200" s="11" t="str">
        <f aca="false">IF(A200="","",IF(AND(D200="Direct",ISNUMBER(I200),ISNUMBER(J200)),"Yes","No"))</f>
        <v/>
      </c>
      <c r="M200" s="11" t="str">
        <f aca="false">IF(H200="","",IF(AND(H200&gt;=README!$B$4,H200&lt;=README!$B$5),"Yes","No"))</f>
        <v/>
      </c>
    </row>
    <row r="201" customFormat="false" ht="15" hidden="false" customHeight="false" outlineLevel="0" collapsed="false">
      <c r="K201" s="10" t="str">
        <f aca="false">IF(AND(ISNUMBER(I201),ISNUMBER(J201),I201&gt;0),(J201-I201)/I201,"")</f>
        <v/>
      </c>
      <c r="L201" s="11" t="str">
        <f aca="false">IF(A201="","",IF(AND(D201="Direct",ISNUMBER(I201),ISNUMBER(J201)),"Yes","No"))</f>
        <v/>
      </c>
      <c r="M201" s="11" t="str">
        <f aca="false">IF(H201="","",IF(AND(H201&gt;=README!$B$4,H201&lt;=README!$B$5),"Yes","No"))</f>
        <v/>
      </c>
    </row>
  </sheetData>
  <dataValidations count="3">
    <dataValidation allowBlank="true" errorStyle="stop" operator="between" showDropDown="false" showErrorMessage="false" showInputMessage="false" sqref="C2:C201" type="list">
      <formula1>"Decode: Veritas,Fliq,Other"</formula1>
      <formula2>0</formula2>
    </dataValidation>
    <dataValidation allowBlank="true" errorStyle="stop" operator="between" showDropDown="false" showErrorMessage="false" showInputMessage="false" sqref="D2:D201" type="list">
      <formula1>"Direct,Indirect"</formula1>
      <formula2>0</formula2>
    </dataValidation>
    <dataValidation allowBlank="true" errorStyle="stop" operator="between" showDropDown="false" showErrorMessage="false" showInputMessage="false" sqref="F2:F20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5" t="s">
        <v>40</v>
      </c>
      <c r="B1" s="5" t="s">
        <v>20</v>
      </c>
      <c r="C1" s="5" t="s">
        <v>41</v>
      </c>
      <c r="D1" s="5" t="s">
        <v>42</v>
      </c>
      <c r="E1" s="5" t="s">
        <v>43</v>
      </c>
      <c r="F1" s="5" t="s">
        <v>44</v>
      </c>
      <c r="G1" s="5" t="s">
        <v>45</v>
      </c>
      <c r="H1" s="5" t="s">
        <v>30</v>
      </c>
    </row>
    <row r="2" customFormat="false" ht="15" hidden="false" customHeight="false" outlineLevel="0" collapsed="false">
      <c r="A2" s="7" t="n">
        <v>46309</v>
      </c>
      <c r="B2" s="6" t="s">
        <v>34</v>
      </c>
      <c r="C2" s="6" t="s">
        <v>36</v>
      </c>
      <c r="D2" s="6" t="s">
        <v>46</v>
      </c>
      <c r="E2" s="6" t="n">
        <v>32</v>
      </c>
      <c r="F2" s="6" t="s">
        <v>47</v>
      </c>
      <c r="G2" s="6" t="s">
        <v>48</v>
      </c>
      <c r="H2" s="9" t="str">
        <f aca="false">IF(A2="","",IF(AND(A2&gt;=README!$B$4,A2&lt;=README!$B$5),"Yes","No"))</f>
        <v>Yes</v>
      </c>
    </row>
    <row r="3" customFormat="false" ht="15" hidden="false" customHeight="false" outlineLevel="0" collapsed="false">
      <c r="H3" s="11" t="str">
        <f aca="false">IF(A3="","",IF(AND(A3&gt;=README!$B$4,A3&lt;=README!$B$5),"Yes","No"))</f>
        <v/>
      </c>
    </row>
    <row r="4" customFormat="false" ht="15" hidden="false" customHeight="false" outlineLevel="0" collapsed="false">
      <c r="H4" s="11" t="str">
        <f aca="false">IF(A4="","",IF(AND(A4&gt;=README!$B$4,A4&lt;=README!$B$5),"Yes","No"))</f>
        <v/>
      </c>
    </row>
    <row r="5" customFormat="false" ht="15" hidden="false" customHeight="false" outlineLevel="0" collapsed="false">
      <c r="H5" s="11" t="str">
        <f aca="false">IF(A5="","",IF(AND(A5&gt;=README!$B$4,A5&lt;=README!$B$5),"Yes","No"))</f>
        <v/>
      </c>
    </row>
    <row r="6" customFormat="false" ht="15" hidden="false" customHeight="false" outlineLevel="0" collapsed="false">
      <c r="H6" s="11" t="str">
        <f aca="false">IF(A6="","",IF(AND(A6&gt;=README!$B$4,A6&lt;=README!$B$5),"Yes","No"))</f>
        <v/>
      </c>
    </row>
    <row r="7" customFormat="false" ht="15" hidden="false" customHeight="false" outlineLevel="0" collapsed="false">
      <c r="H7" s="11" t="str">
        <f aca="false">IF(A7="","",IF(AND(A7&gt;=README!$B$4,A7&lt;=README!$B$5),"Yes","No"))</f>
        <v/>
      </c>
    </row>
    <row r="8" customFormat="false" ht="15" hidden="false" customHeight="false" outlineLevel="0" collapsed="false">
      <c r="H8" s="11" t="str">
        <f aca="false">IF(A8="","",IF(AND(A8&gt;=README!$B$4,A8&lt;=README!$B$5),"Yes","No"))</f>
        <v/>
      </c>
    </row>
    <row r="9" customFormat="false" ht="15" hidden="false" customHeight="false" outlineLevel="0" collapsed="false">
      <c r="H9" s="11" t="str">
        <f aca="false">IF(A9="","",IF(AND(A9&gt;=README!$B$4,A9&lt;=README!$B$5),"Yes","No"))</f>
        <v/>
      </c>
    </row>
    <row r="10" customFormat="false" ht="15" hidden="false" customHeight="false" outlineLevel="0" collapsed="false">
      <c r="H10" s="11" t="str">
        <f aca="false">IF(A10="","",IF(AND(A10&gt;=README!$B$4,A10&lt;=README!$B$5),"Yes","No"))</f>
        <v/>
      </c>
    </row>
    <row r="11" customFormat="false" ht="15" hidden="false" customHeight="false" outlineLevel="0" collapsed="false">
      <c r="H11" s="11" t="str">
        <f aca="false">IF(A11="","",IF(AND(A11&gt;=README!$B$4,A11&lt;=README!$B$5),"Yes","No"))</f>
        <v/>
      </c>
    </row>
    <row r="12" customFormat="false" ht="15" hidden="false" customHeight="false" outlineLevel="0" collapsed="false">
      <c r="H12" s="11" t="str">
        <f aca="false">IF(A12="","",IF(AND(A12&gt;=README!$B$4,A12&lt;=README!$B$5),"Yes","No"))</f>
        <v/>
      </c>
    </row>
    <row r="13" customFormat="false" ht="15" hidden="false" customHeight="false" outlineLevel="0" collapsed="false">
      <c r="H13" s="11" t="str">
        <f aca="false">IF(A13="","",IF(AND(A13&gt;=README!$B$4,A13&lt;=README!$B$5),"Yes","No"))</f>
        <v/>
      </c>
    </row>
    <row r="14" customFormat="false" ht="15" hidden="false" customHeight="false" outlineLevel="0" collapsed="false">
      <c r="H14" s="11" t="str">
        <f aca="false">IF(A14="","",IF(AND(A14&gt;=README!$B$4,A14&lt;=README!$B$5),"Yes","No"))</f>
        <v/>
      </c>
    </row>
    <row r="15" customFormat="false" ht="15" hidden="false" customHeight="false" outlineLevel="0" collapsed="false">
      <c r="H15" s="11" t="str">
        <f aca="false">IF(A15="","",IF(AND(A15&gt;=README!$B$4,A15&lt;=README!$B$5),"Yes","No"))</f>
        <v/>
      </c>
    </row>
    <row r="16" customFormat="false" ht="15" hidden="false" customHeight="false" outlineLevel="0" collapsed="false">
      <c r="H16" s="11" t="str">
        <f aca="false">IF(A16="","",IF(AND(A16&gt;=README!$B$4,A16&lt;=README!$B$5),"Yes","No"))</f>
        <v/>
      </c>
    </row>
    <row r="17" customFormat="false" ht="15" hidden="false" customHeight="false" outlineLevel="0" collapsed="false">
      <c r="H17" s="11" t="str">
        <f aca="false">IF(A17="","",IF(AND(A17&gt;=README!$B$4,A17&lt;=README!$B$5),"Yes","No"))</f>
        <v/>
      </c>
    </row>
    <row r="18" customFormat="false" ht="15" hidden="false" customHeight="false" outlineLevel="0" collapsed="false">
      <c r="H18" s="11" t="str">
        <f aca="false">IF(A18="","",IF(AND(A18&gt;=README!$B$4,A18&lt;=README!$B$5),"Yes","No"))</f>
        <v/>
      </c>
    </row>
    <row r="19" customFormat="false" ht="15" hidden="false" customHeight="false" outlineLevel="0" collapsed="false">
      <c r="H19" s="11" t="str">
        <f aca="false">IF(A19="","",IF(AND(A19&gt;=README!$B$4,A19&lt;=README!$B$5),"Yes","No"))</f>
        <v/>
      </c>
    </row>
    <row r="20" customFormat="false" ht="15" hidden="false" customHeight="false" outlineLevel="0" collapsed="false">
      <c r="H20" s="11" t="str">
        <f aca="false">IF(A20="","",IF(AND(A20&gt;=README!$B$4,A20&lt;=README!$B$5),"Yes","No"))</f>
        <v/>
      </c>
    </row>
    <row r="21" customFormat="false" ht="15" hidden="false" customHeight="false" outlineLevel="0" collapsed="false">
      <c r="H21" s="11" t="str">
        <f aca="false">IF(A21="","",IF(AND(A21&gt;=README!$B$4,A21&lt;=README!$B$5),"Yes","No"))</f>
        <v/>
      </c>
    </row>
    <row r="22" customFormat="false" ht="15" hidden="false" customHeight="false" outlineLevel="0" collapsed="false">
      <c r="H22" s="11" t="str">
        <f aca="false">IF(A22="","",IF(AND(A22&gt;=README!$B$4,A22&lt;=README!$B$5),"Yes","No"))</f>
        <v/>
      </c>
    </row>
    <row r="23" customFormat="false" ht="15" hidden="false" customHeight="false" outlineLevel="0" collapsed="false">
      <c r="H23" s="11" t="str">
        <f aca="false">IF(A23="","",IF(AND(A23&gt;=README!$B$4,A23&lt;=README!$B$5),"Yes","No"))</f>
        <v/>
      </c>
    </row>
    <row r="24" customFormat="false" ht="15" hidden="false" customHeight="false" outlineLevel="0" collapsed="false">
      <c r="H24" s="11" t="str">
        <f aca="false">IF(A24="","",IF(AND(A24&gt;=README!$B$4,A24&lt;=README!$B$5),"Yes","No"))</f>
        <v/>
      </c>
    </row>
    <row r="25" customFormat="false" ht="15" hidden="false" customHeight="false" outlineLevel="0" collapsed="false">
      <c r="H25" s="11" t="str">
        <f aca="false">IF(A25="","",IF(AND(A25&gt;=README!$B$4,A25&lt;=README!$B$5),"Yes","No"))</f>
        <v/>
      </c>
    </row>
    <row r="26" customFormat="false" ht="15" hidden="false" customHeight="false" outlineLevel="0" collapsed="false">
      <c r="H26" s="11" t="str">
        <f aca="false">IF(A26="","",IF(AND(A26&gt;=README!$B$4,A26&lt;=README!$B$5),"Yes","No"))</f>
        <v/>
      </c>
    </row>
    <row r="27" customFormat="false" ht="15" hidden="false" customHeight="false" outlineLevel="0" collapsed="false">
      <c r="H27" s="11" t="str">
        <f aca="false">IF(A27="","",IF(AND(A27&gt;=README!$B$4,A27&lt;=README!$B$5),"Yes","No"))</f>
        <v/>
      </c>
    </row>
    <row r="28" customFormat="false" ht="15" hidden="false" customHeight="false" outlineLevel="0" collapsed="false">
      <c r="H28" s="11" t="str">
        <f aca="false">IF(A28="","",IF(AND(A28&gt;=README!$B$4,A28&lt;=README!$B$5),"Yes","No"))</f>
        <v/>
      </c>
    </row>
    <row r="29" customFormat="false" ht="15" hidden="false" customHeight="false" outlineLevel="0" collapsed="false">
      <c r="H29" s="11" t="str">
        <f aca="false">IF(A29="","",IF(AND(A29&gt;=README!$B$4,A29&lt;=README!$B$5),"Yes","No"))</f>
        <v/>
      </c>
    </row>
    <row r="30" customFormat="false" ht="15" hidden="false" customHeight="false" outlineLevel="0" collapsed="false">
      <c r="H30" s="11" t="str">
        <f aca="false">IF(A30="","",IF(AND(A30&gt;=README!$B$4,A30&lt;=README!$B$5),"Yes","No"))</f>
        <v/>
      </c>
    </row>
    <row r="31" customFormat="false" ht="15" hidden="false" customHeight="false" outlineLevel="0" collapsed="false">
      <c r="H31" s="11" t="str">
        <f aca="false">IF(A31="","",IF(AND(A31&gt;=README!$B$4,A31&lt;=README!$B$5),"Yes","No"))</f>
        <v/>
      </c>
    </row>
    <row r="32" customFormat="false" ht="15" hidden="false" customHeight="false" outlineLevel="0" collapsed="false">
      <c r="H32" s="11" t="str">
        <f aca="false">IF(A32="","",IF(AND(A32&gt;=README!$B$4,A32&lt;=README!$B$5),"Yes","No"))</f>
        <v/>
      </c>
    </row>
    <row r="33" customFormat="false" ht="15" hidden="false" customHeight="false" outlineLevel="0" collapsed="false">
      <c r="H33" s="11" t="str">
        <f aca="false">IF(A33="","",IF(AND(A33&gt;=README!$B$4,A33&lt;=README!$B$5),"Yes","No"))</f>
        <v/>
      </c>
    </row>
    <row r="34" customFormat="false" ht="15" hidden="false" customHeight="false" outlineLevel="0" collapsed="false">
      <c r="H34" s="11" t="str">
        <f aca="false">IF(A34="","",IF(AND(A34&gt;=README!$B$4,A34&lt;=README!$B$5),"Yes","No"))</f>
        <v/>
      </c>
    </row>
    <row r="35" customFormat="false" ht="15" hidden="false" customHeight="false" outlineLevel="0" collapsed="false">
      <c r="H35" s="11" t="str">
        <f aca="false">IF(A35="","",IF(AND(A35&gt;=README!$B$4,A35&lt;=README!$B$5),"Yes","No"))</f>
        <v/>
      </c>
    </row>
    <row r="36" customFormat="false" ht="15" hidden="false" customHeight="false" outlineLevel="0" collapsed="false">
      <c r="H36" s="11" t="str">
        <f aca="false">IF(A36="","",IF(AND(A36&gt;=README!$B$4,A36&lt;=README!$B$5),"Yes","No"))</f>
        <v/>
      </c>
    </row>
    <row r="37" customFormat="false" ht="15" hidden="false" customHeight="false" outlineLevel="0" collapsed="false">
      <c r="H37" s="11" t="str">
        <f aca="false">IF(A37="","",IF(AND(A37&gt;=README!$B$4,A37&lt;=README!$B$5),"Yes","No"))</f>
        <v/>
      </c>
    </row>
    <row r="38" customFormat="false" ht="15" hidden="false" customHeight="false" outlineLevel="0" collapsed="false">
      <c r="H38" s="11" t="str">
        <f aca="false">IF(A38="","",IF(AND(A38&gt;=README!$B$4,A38&lt;=README!$B$5),"Yes","No"))</f>
        <v/>
      </c>
    </row>
    <row r="39" customFormat="false" ht="15" hidden="false" customHeight="false" outlineLevel="0" collapsed="false">
      <c r="H39" s="11" t="str">
        <f aca="false">IF(A39="","",IF(AND(A39&gt;=README!$B$4,A39&lt;=README!$B$5),"Yes","No"))</f>
        <v/>
      </c>
    </row>
    <row r="40" customFormat="false" ht="15" hidden="false" customHeight="false" outlineLevel="0" collapsed="false">
      <c r="H40" s="11" t="str">
        <f aca="false">IF(A40="","",IF(AND(A40&gt;=README!$B$4,A40&lt;=README!$B$5),"Yes","No"))</f>
        <v/>
      </c>
    </row>
    <row r="41" customFormat="false" ht="15" hidden="false" customHeight="false" outlineLevel="0" collapsed="false">
      <c r="H41" s="11" t="str">
        <f aca="false">IF(A41="","",IF(AND(A41&gt;=README!$B$4,A41&lt;=README!$B$5),"Yes","No"))</f>
        <v/>
      </c>
    </row>
    <row r="42" customFormat="false" ht="15" hidden="false" customHeight="false" outlineLevel="0" collapsed="false">
      <c r="H42" s="11" t="str">
        <f aca="false">IF(A42="","",IF(AND(A42&gt;=README!$B$4,A42&lt;=README!$B$5),"Yes","No"))</f>
        <v/>
      </c>
    </row>
    <row r="43" customFormat="false" ht="15" hidden="false" customHeight="false" outlineLevel="0" collapsed="false">
      <c r="H43" s="11" t="str">
        <f aca="false">IF(A43="","",IF(AND(A43&gt;=README!$B$4,A43&lt;=README!$B$5),"Yes","No"))</f>
        <v/>
      </c>
    </row>
    <row r="44" customFormat="false" ht="15" hidden="false" customHeight="false" outlineLevel="0" collapsed="false">
      <c r="H44" s="11" t="str">
        <f aca="false">IF(A44="","",IF(AND(A44&gt;=README!$B$4,A44&lt;=README!$B$5),"Yes","No"))</f>
        <v/>
      </c>
    </row>
    <row r="45" customFormat="false" ht="15" hidden="false" customHeight="false" outlineLevel="0" collapsed="false">
      <c r="H45" s="11" t="str">
        <f aca="false">IF(A45="","",IF(AND(A45&gt;=README!$B$4,A45&lt;=README!$B$5),"Yes","No"))</f>
        <v/>
      </c>
    </row>
    <row r="46" customFormat="false" ht="15" hidden="false" customHeight="false" outlineLevel="0" collapsed="false">
      <c r="H46" s="11" t="str">
        <f aca="false">IF(A46="","",IF(AND(A46&gt;=README!$B$4,A46&lt;=README!$B$5),"Yes","No"))</f>
        <v/>
      </c>
    </row>
    <row r="47" customFormat="false" ht="15" hidden="false" customHeight="false" outlineLevel="0" collapsed="false">
      <c r="H47" s="11" t="str">
        <f aca="false">IF(A47="","",IF(AND(A47&gt;=README!$B$4,A47&lt;=README!$B$5),"Yes","No"))</f>
        <v/>
      </c>
    </row>
    <row r="48" customFormat="false" ht="15" hidden="false" customHeight="false" outlineLevel="0" collapsed="false">
      <c r="H48" s="11" t="str">
        <f aca="false">IF(A48="","",IF(AND(A48&gt;=README!$B$4,A48&lt;=README!$B$5),"Yes","No"))</f>
        <v/>
      </c>
    </row>
    <row r="49" customFormat="false" ht="15" hidden="false" customHeight="false" outlineLevel="0" collapsed="false">
      <c r="H49" s="11" t="str">
        <f aca="false">IF(A49="","",IF(AND(A49&gt;=README!$B$4,A49&lt;=README!$B$5),"Yes","No"))</f>
        <v/>
      </c>
    </row>
    <row r="50" customFormat="false" ht="15" hidden="false" customHeight="false" outlineLevel="0" collapsed="false">
      <c r="H50" s="11" t="str">
        <f aca="false">IF(A50="","",IF(AND(A50&gt;=README!$B$4,A50&lt;=README!$B$5),"Yes","No"))</f>
        <v/>
      </c>
    </row>
    <row r="51" customFormat="false" ht="15" hidden="false" customHeight="false" outlineLevel="0" collapsed="false">
      <c r="H51" s="11" t="str">
        <f aca="false">IF(A51="","",IF(AND(A51&gt;=README!$B$4,A51&lt;=README!$B$5),"Yes","No"))</f>
        <v/>
      </c>
    </row>
    <row r="52" customFormat="false" ht="15" hidden="false" customHeight="false" outlineLevel="0" collapsed="false">
      <c r="H52" s="11" t="str">
        <f aca="false">IF(A52="","",IF(AND(A52&gt;=README!$B$4,A52&lt;=README!$B$5),"Yes","No"))</f>
        <v/>
      </c>
    </row>
    <row r="53" customFormat="false" ht="15" hidden="false" customHeight="false" outlineLevel="0" collapsed="false">
      <c r="H53" s="11" t="str">
        <f aca="false">IF(A53="","",IF(AND(A53&gt;=README!$B$4,A53&lt;=README!$B$5),"Yes","No"))</f>
        <v/>
      </c>
    </row>
    <row r="54" customFormat="false" ht="15" hidden="false" customHeight="false" outlineLevel="0" collapsed="false">
      <c r="H54" s="11" t="str">
        <f aca="false">IF(A54="","",IF(AND(A54&gt;=README!$B$4,A54&lt;=README!$B$5),"Yes","No"))</f>
        <v/>
      </c>
    </row>
    <row r="55" customFormat="false" ht="15" hidden="false" customHeight="false" outlineLevel="0" collapsed="false">
      <c r="H55" s="11" t="str">
        <f aca="false">IF(A55="","",IF(AND(A55&gt;=README!$B$4,A55&lt;=README!$B$5),"Yes","No"))</f>
        <v/>
      </c>
    </row>
    <row r="56" customFormat="false" ht="15" hidden="false" customHeight="false" outlineLevel="0" collapsed="false">
      <c r="H56" s="11" t="str">
        <f aca="false">IF(A56="","",IF(AND(A56&gt;=README!$B$4,A56&lt;=README!$B$5),"Yes","No"))</f>
        <v/>
      </c>
    </row>
    <row r="57" customFormat="false" ht="15" hidden="false" customHeight="false" outlineLevel="0" collapsed="false">
      <c r="H57" s="11" t="str">
        <f aca="false">IF(A57="","",IF(AND(A57&gt;=README!$B$4,A57&lt;=README!$B$5),"Yes","No"))</f>
        <v/>
      </c>
    </row>
    <row r="58" customFormat="false" ht="15" hidden="false" customHeight="false" outlineLevel="0" collapsed="false">
      <c r="H58" s="11" t="str">
        <f aca="false">IF(A58="","",IF(AND(A58&gt;=README!$B$4,A58&lt;=README!$B$5),"Yes","No"))</f>
        <v/>
      </c>
    </row>
    <row r="59" customFormat="false" ht="15" hidden="false" customHeight="false" outlineLevel="0" collapsed="false">
      <c r="H59" s="11" t="str">
        <f aca="false">IF(A59="","",IF(AND(A59&gt;=README!$B$4,A59&lt;=README!$B$5),"Yes","No"))</f>
        <v/>
      </c>
    </row>
    <row r="60" customFormat="false" ht="15" hidden="false" customHeight="false" outlineLevel="0" collapsed="false">
      <c r="H60" s="11" t="str">
        <f aca="false">IF(A60="","",IF(AND(A60&gt;=README!$B$4,A60&lt;=README!$B$5),"Yes","No"))</f>
        <v/>
      </c>
    </row>
    <row r="61" customFormat="false" ht="15" hidden="false" customHeight="false" outlineLevel="0" collapsed="false">
      <c r="H61" s="11" t="str">
        <f aca="false">IF(A61="","",IF(AND(A61&gt;=README!$B$4,A61&lt;=README!$B$5),"Yes","No"))</f>
        <v/>
      </c>
    </row>
    <row r="62" customFormat="false" ht="15" hidden="false" customHeight="false" outlineLevel="0" collapsed="false">
      <c r="H62" s="11" t="str">
        <f aca="false">IF(A62="","",IF(AND(A62&gt;=README!$B$4,A62&lt;=README!$B$5),"Yes","No"))</f>
        <v/>
      </c>
    </row>
    <row r="63" customFormat="false" ht="15" hidden="false" customHeight="false" outlineLevel="0" collapsed="false">
      <c r="H63" s="11" t="str">
        <f aca="false">IF(A63="","",IF(AND(A63&gt;=README!$B$4,A63&lt;=README!$B$5),"Yes","No"))</f>
        <v/>
      </c>
    </row>
    <row r="64" customFormat="false" ht="15" hidden="false" customHeight="false" outlineLevel="0" collapsed="false">
      <c r="H64" s="11" t="str">
        <f aca="false">IF(A64="","",IF(AND(A64&gt;=README!$B$4,A64&lt;=README!$B$5),"Yes","No"))</f>
        <v/>
      </c>
    </row>
    <row r="65" customFormat="false" ht="15" hidden="false" customHeight="false" outlineLevel="0" collapsed="false">
      <c r="H65" s="11" t="str">
        <f aca="false">IF(A65="","",IF(AND(A65&gt;=README!$B$4,A65&lt;=README!$B$5),"Yes","No"))</f>
        <v/>
      </c>
    </row>
    <row r="66" customFormat="false" ht="15" hidden="false" customHeight="false" outlineLevel="0" collapsed="false">
      <c r="H66" s="11" t="str">
        <f aca="false">IF(A66="","",IF(AND(A66&gt;=README!$B$4,A66&lt;=README!$B$5),"Yes","No"))</f>
        <v/>
      </c>
    </row>
    <row r="67" customFormat="false" ht="15" hidden="false" customHeight="false" outlineLevel="0" collapsed="false">
      <c r="H67" s="11" t="str">
        <f aca="false">IF(A67="","",IF(AND(A67&gt;=README!$B$4,A67&lt;=README!$B$5),"Yes","No"))</f>
        <v/>
      </c>
    </row>
    <row r="68" customFormat="false" ht="15" hidden="false" customHeight="false" outlineLevel="0" collapsed="false">
      <c r="H68" s="11" t="str">
        <f aca="false">IF(A68="","",IF(AND(A68&gt;=README!$B$4,A68&lt;=README!$B$5),"Yes","No"))</f>
        <v/>
      </c>
    </row>
    <row r="69" customFormat="false" ht="15" hidden="false" customHeight="false" outlineLevel="0" collapsed="false">
      <c r="H69" s="11" t="str">
        <f aca="false">IF(A69="","",IF(AND(A69&gt;=README!$B$4,A69&lt;=README!$B$5),"Yes","No"))</f>
        <v/>
      </c>
    </row>
    <row r="70" customFormat="false" ht="15" hidden="false" customHeight="false" outlineLevel="0" collapsed="false">
      <c r="H70" s="11" t="str">
        <f aca="false">IF(A70="","",IF(AND(A70&gt;=README!$B$4,A70&lt;=README!$B$5),"Yes","No"))</f>
        <v/>
      </c>
    </row>
    <row r="71" customFormat="false" ht="15" hidden="false" customHeight="false" outlineLevel="0" collapsed="false">
      <c r="H71" s="11" t="str">
        <f aca="false">IF(A71="","",IF(AND(A71&gt;=README!$B$4,A71&lt;=README!$B$5),"Yes","No"))</f>
        <v/>
      </c>
    </row>
    <row r="72" customFormat="false" ht="15" hidden="false" customHeight="false" outlineLevel="0" collapsed="false">
      <c r="H72" s="11" t="str">
        <f aca="false">IF(A72="","",IF(AND(A72&gt;=README!$B$4,A72&lt;=README!$B$5),"Yes","No"))</f>
        <v/>
      </c>
    </row>
    <row r="73" customFormat="false" ht="15" hidden="false" customHeight="false" outlineLevel="0" collapsed="false">
      <c r="H73" s="11" t="str">
        <f aca="false">IF(A73="","",IF(AND(A73&gt;=README!$B$4,A73&lt;=README!$B$5),"Yes","No"))</f>
        <v/>
      </c>
    </row>
    <row r="74" customFormat="false" ht="15" hidden="false" customHeight="false" outlineLevel="0" collapsed="false">
      <c r="H74" s="11" t="str">
        <f aca="false">IF(A74="","",IF(AND(A74&gt;=README!$B$4,A74&lt;=README!$B$5),"Yes","No"))</f>
        <v/>
      </c>
    </row>
    <row r="75" customFormat="false" ht="15" hidden="false" customHeight="false" outlineLevel="0" collapsed="false">
      <c r="H75" s="11" t="str">
        <f aca="false">IF(A75="","",IF(AND(A75&gt;=README!$B$4,A75&lt;=README!$B$5),"Yes","No"))</f>
        <v/>
      </c>
    </row>
    <row r="76" customFormat="false" ht="15" hidden="false" customHeight="false" outlineLevel="0" collapsed="false">
      <c r="H76" s="11" t="str">
        <f aca="false">IF(A76="","",IF(AND(A76&gt;=README!$B$4,A76&lt;=README!$B$5),"Yes","No"))</f>
        <v/>
      </c>
    </row>
    <row r="77" customFormat="false" ht="15" hidden="false" customHeight="false" outlineLevel="0" collapsed="false">
      <c r="H77" s="11" t="str">
        <f aca="false">IF(A77="","",IF(AND(A77&gt;=README!$B$4,A77&lt;=README!$B$5),"Yes","No"))</f>
        <v/>
      </c>
    </row>
    <row r="78" customFormat="false" ht="15" hidden="false" customHeight="false" outlineLevel="0" collapsed="false">
      <c r="H78" s="11" t="str">
        <f aca="false">IF(A78="","",IF(AND(A78&gt;=README!$B$4,A78&lt;=README!$B$5),"Yes","No"))</f>
        <v/>
      </c>
    </row>
    <row r="79" customFormat="false" ht="15" hidden="false" customHeight="false" outlineLevel="0" collapsed="false">
      <c r="H79" s="11" t="str">
        <f aca="false">IF(A79="","",IF(AND(A79&gt;=README!$B$4,A79&lt;=README!$B$5),"Yes","No"))</f>
        <v/>
      </c>
    </row>
    <row r="80" customFormat="false" ht="15" hidden="false" customHeight="false" outlineLevel="0" collapsed="false">
      <c r="H80" s="11" t="str">
        <f aca="false">IF(A80="","",IF(AND(A80&gt;=README!$B$4,A80&lt;=README!$B$5),"Yes","No"))</f>
        <v/>
      </c>
    </row>
    <row r="81" customFormat="false" ht="15" hidden="false" customHeight="false" outlineLevel="0" collapsed="false">
      <c r="H81" s="11" t="str">
        <f aca="false">IF(A81="","",IF(AND(A81&gt;=README!$B$4,A81&lt;=README!$B$5),"Yes","No"))</f>
        <v/>
      </c>
    </row>
    <row r="82" customFormat="false" ht="15" hidden="false" customHeight="false" outlineLevel="0" collapsed="false">
      <c r="H82" s="11" t="str">
        <f aca="false">IF(A82="","",IF(AND(A82&gt;=README!$B$4,A82&lt;=README!$B$5),"Yes","No"))</f>
        <v/>
      </c>
    </row>
    <row r="83" customFormat="false" ht="15" hidden="false" customHeight="false" outlineLevel="0" collapsed="false">
      <c r="H83" s="11" t="str">
        <f aca="false">IF(A83="","",IF(AND(A83&gt;=README!$B$4,A83&lt;=README!$B$5),"Yes","No"))</f>
        <v/>
      </c>
    </row>
    <row r="84" customFormat="false" ht="15" hidden="false" customHeight="false" outlineLevel="0" collapsed="false">
      <c r="H84" s="11" t="str">
        <f aca="false">IF(A84="","",IF(AND(A84&gt;=README!$B$4,A84&lt;=README!$B$5),"Yes","No"))</f>
        <v/>
      </c>
    </row>
    <row r="85" customFormat="false" ht="15" hidden="false" customHeight="false" outlineLevel="0" collapsed="false">
      <c r="H85" s="11" t="str">
        <f aca="false">IF(A85="","",IF(AND(A85&gt;=README!$B$4,A85&lt;=README!$B$5),"Yes","No"))</f>
        <v/>
      </c>
    </row>
    <row r="86" customFormat="false" ht="15" hidden="false" customHeight="false" outlineLevel="0" collapsed="false">
      <c r="H86" s="11" t="str">
        <f aca="false">IF(A86="","",IF(AND(A86&gt;=README!$B$4,A86&lt;=README!$B$5),"Yes","No"))</f>
        <v/>
      </c>
    </row>
    <row r="87" customFormat="false" ht="15" hidden="false" customHeight="false" outlineLevel="0" collapsed="false">
      <c r="H87" s="11" t="str">
        <f aca="false">IF(A87="","",IF(AND(A87&gt;=README!$B$4,A87&lt;=README!$B$5),"Yes","No"))</f>
        <v/>
      </c>
    </row>
    <row r="88" customFormat="false" ht="15" hidden="false" customHeight="false" outlineLevel="0" collapsed="false">
      <c r="H88" s="11" t="str">
        <f aca="false">IF(A88="","",IF(AND(A88&gt;=README!$B$4,A88&lt;=README!$B$5),"Yes","No"))</f>
        <v/>
      </c>
    </row>
    <row r="89" customFormat="false" ht="15" hidden="false" customHeight="false" outlineLevel="0" collapsed="false">
      <c r="H89" s="11" t="str">
        <f aca="false">IF(A89="","",IF(AND(A89&gt;=README!$B$4,A89&lt;=README!$B$5),"Yes","No"))</f>
        <v/>
      </c>
    </row>
    <row r="90" customFormat="false" ht="15" hidden="false" customHeight="false" outlineLevel="0" collapsed="false">
      <c r="H90" s="11" t="str">
        <f aca="false">IF(A90="","",IF(AND(A90&gt;=README!$B$4,A90&lt;=README!$B$5),"Yes","No"))</f>
        <v/>
      </c>
    </row>
    <row r="91" customFormat="false" ht="15" hidden="false" customHeight="false" outlineLevel="0" collapsed="false">
      <c r="H91" s="11" t="str">
        <f aca="false">IF(A91="","",IF(AND(A91&gt;=README!$B$4,A91&lt;=README!$B$5),"Yes","No"))</f>
        <v/>
      </c>
    </row>
    <row r="92" customFormat="false" ht="15" hidden="false" customHeight="false" outlineLevel="0" collapsed="false">
      <c r="H92" s="11" t="str">
        <f aca="false">IF(A92="","",IF(AND(A92&gt;=README!$B$4,A92&lt;=README!$B$5),"Yes","No"))</f>
        <v/>
      </c>
    </row>
    <row r="93" customFormat="false" ht="15" hidden="false" customHeight="false" outlineLevel="0" collapsed="false">
      <c r="H93" s="11" t="str">
        <f aca="false">IF(A93="","",IF(AND(A93&gt;=README!$B$4,A93&lt;=README!$B$5),"Yes","No"))</f>
        <v/>
      </c>
    </row>
    <row r="94" customFormat="false" ht="15" hidden="false" customHeight="false" outlineLevel="0" collapsed="false">
      <c r="H94" s="11" t="str">
        <f aca="false">IF(A94="","",IF(AND(A94&gt;=README!$B$4,A94&lt;=README!$B$5),"Yes","No"))</f>
        <v/>
      </c>
    </row>
    <row r="95" customFormat="false" ht="15" hidden="false" customHeight="false" outlineLevel="0" collapsed="false">
      <c r="H95" s="11" t="str">
        <f aca="false">IF(A95="","",IF(AND(A95&gt;=README!$B$4,A95&lt;=README!$B$5),"Yes","No"))</f>
        <v/>
      </c>
    </row>
    <row r="96" customFormat="false" ht="15" hidden="false" customHeight="false" outlineLevel="0" collapsed="false">
      <c r="H96" s="11" t="str">
        <f aca="false">IF(A96="","",IF(AND(A96&gt;=README!$B$4,A96&lt;=README!$B$5),"Yes","No"))</f>
        <v/>
      </c>
    </row>
    <row r="97" customFormat="false" ht="15" hidden="false" customHeight="false" outlineLevel="0" collapsed="false">
      <c r="H97" s="11" t="str">
        <f aca="false">IF(A97="","",IF(AND(A97&gt;=README!$B$4,A97&lt;=README!$B$5),"Yes","No"))</f>
        <v/>
      </c>
    </row>
    <row r="98" customFormat="false" ht="15" hidden="false" customHeight="false" outlineLevel="0" collapsed="false">
      <c r="H98" s="11" t="str">
        <f aca="false">IF(A98="","",IF(AND(A98&gt;=README!$B$4,A98&lt;=README!$B$5),"Yes","No"))</f>
        <v/>
      </c>
    </row>
    <row r="99" customFormat="false" ht="15" hidden="false" customHeight="false" outlineLevel="0" collapsed="false">
      <c r="H99" s="11" t="str">
        <f aca="false">IF(A99="","",IF(AND(A99&gt;=README!$B$4,A99&lt;=README!$B$5),"Yes","No"))</f>
        <v/>
      </c>
    </row>
    <row r="100" customFormat="false" ht="15" hidden="false" customHeight="false" outlineLevel="0" collapsed="false">
      <c r="H100" s="11" t="str">
        <f aca="false">IF(A100="","",IF(AND(A100&gt;=README!$B$4,A100&lt;=README!$B$5),"Yes","No"))</f>
        <v/>
      </c>
    </row>
    <row r="101" customFormat="false" ht="15" hidden="false" customHeight="false" outlineLevel="0" collapsed="false">
      <c r="H101" s="11" t="str">
        <f aca="false">IF(A101="","",IF(AND(A101&gt;=README!$B$4,A101&lt;=README!$B$5),"Yes","No"))</f>
        <v/>
      </c>
    </row>
    <row r="102" customFormat="false" ht="15" hidden="false" customHeight="false" outlineLevel="0" collapsed="false">
      <c r="H102" s="11" t="str">
        <f aca="false">IF(A102="","",IF(AND(A102&gt;=README!$B$4,A102&lt;=README!$B$5),"Yes","No"))</f>
        <v/>
      </c>
    </row>
    <row r="103" customFormat="false" ht="15" hidden="false" customHeight="false" outlineLevel="0" collapsed="false">
      <c r="H103" s="11" t="str">
        <f aca="false">IF(A103="","",IF(AND(A103&gt;=README!$B$4,A103&lt;=README!$B$5),"Yes","No"))</f>
        <v/>
      </c>
    </row>
    <row r="104" customFormat="false" ht="15" hidden="false" customHeight="false" outlineLevel="0" collapsed="false">
      <c r="H104" s="11" t="str">
        <f aca="false">IF(A104="","",IF(AND(A104&gt;=README!$B$4,A104&lt;=README!$B$5),"Yes","No"))</f>
        <v/>
      </c>
    </row>
    <row r="105" customFormat="false" ht="15" hidden="false" customHeight="false" outlineLevel="0" collapsed="false">
      <c r="H105" s="11" t="str">
        <f aca="false">IF(A105="","",IF(AND(A105&gt;=README!$B$4,A105&lt;=README!$B$5),"Yes","No"))</f>
        <v/>
      </c>
    </row>
    <row r="106" customFormat="false" ht="15" hidden="false" customHeight="false" outlineLevel="0" collapsed="false">
      <c r="H106" s="11" t="str">
        <f aca="false">IF(A106="","",IF(AND(A106&gt;=README!$B$4,A106&lt;=README!$B$5),"Yes","No"))</f>
        <v/>
      </c>
    </row>
    <row r="107" customFormat="false" ht="15" hidden="false" customHeight="false" outlineLevel="0" collapsed="false">
      <c r="H107" s="11" t="str">
        <f aca="false">IF(A107="","",IF(AND(A107&gt;=README!$B$4,A107&lt;=README!$B$5),"Yes","No"))</f>
        <v/>
      </c>
    </row>
    <row r="108" customFormat="false" ht="15" hidden="false" customHeight="false" outlineLevel="0" collapsed="false">
      <c r="H108" s="11" t="str">
        <f aca="false">IF(A108="","",IF(AND(A108&gt;=README!$B$4,A108&lt;=README!$B$5),"Yes","No"))</f>
        <v/>
      </c>
    </row>
    <row r="109" customFormat="false" ht="15" hidden="false" customHeight="false" outlineLevel="0" collapsed="false">
      <c r="H109" s="11" t="str">
        <f aca="false">IF(A109="","",IF(AND(A109&gt;=README!$B$4,A109&lt;=README!$B$5),"Yes","No"))</f>
        <v/>
      </c>
    </row>
    <row r="110" customFormat="false" ht="15" hidden="false" customHeight="false" outlineLevel="0" collapsed="false">
      <c r="H110" s="11" t="str">
        <f aca="false">IF(A110="","",IF(AND(A110&gt;=README!$B$4,A110&lt;=README!$B$5),"Yes","No"))</f>
        <v/>
      </c>
    </row>
    <row r="111" customFormat="false" ht="15" hidden="false" customHeight="false" outlineLevel="0" collapsed="false">
      <c r="H111" s="11" t="str">
        <f aca="false">IF(A111="","",IF(AND(A111&gt;=README!$B$4,A111&lt;=README!$B$5),"Yes","No"))</f>
        <v/>
      </c>
    </row>
    <row r="112" customFormat="false" ht="15" hidden="false" customHeight="false" outlineLevel="0" collapsed="false">
      <c r="H112" s="11" t="str">
        <f aca="false">IF(A112="","",IF(AND(A112&gt;=README!$B$4,A112&lt;=README!$B$5),"Yes","No"))</f>
        <v/>
      </c>
    </row>
    <row r="113" customFormat="false" ht="15" hidden="false" customHeight="false" outlineLevel="0" collapsed="false">
      <c r="H113" s="11" t="str">
        <f aca="false">IF(A113="","",IF(AND(A113&gt;=README!$B$4,A113&lt;=README!$B$5),"Yes","No"))</f>
        <v/>
      </c>
    </row>
    <row r="114" customFormat="false" ht="15" hidden="false" customHeight="false" outlineLevel="0" collapsed="false">
      <c r="H114" s="11" t="str">
        <f aca="false">IF(A114="","",IF(AND(A114&gt;=README!$B$4,A114&lt;=README!$B$5),"Yes","No"))</f>
        <v/>
      </c>
    </row>
    <row r="115" customFormat="false" ht="15" hidden="false" customHeight="false" outlineLevel="0" collapsed="false">
      <c r="H115" s="11" t="str">
        <f aca="false">IF(A115="","",IF(AND(A115&gt;=README!$B$4,A115&lt;=README!$B$5),"Yes","No"))</f>
        <v/>
      </c>
    </row>
    <row r="116" customFormat="false" ht="15" hidden="false" customHeight="false" outlineLevel="0" collapsed="false">
      <c r="H116" s="11" t="str">
        <f aca="false">IF(A116="","",IF(AND(A116&gt;=README!$B$4,A116&lt;=README!$B$5),"Yes","No"))</f>
        <v/>
      </c>
    </row>
    <row r="117" customFormat="false" ht="15" hidden="false" customHeight="false" outlineLevel="0" collapsed="false">
      <c r="H117" s="11" t="str">
        <f aca="false">IF(A117="","",IF(AND(A117&gt;=README!$B$4,A117&lt;=README!$B$5),"Yes","No"))</f>
        <v/>
      </c>
    </row>
    <row r="118" customFormat="false" ht="15" hidden="false" customHeight="false" outlineLevel="0" collapsed="false">
      <c r="H118" s="11" t="str">
        <f aca="false">IF(A118="","",IF(AND(A118&gt;=README!$B$4,A118&lt;=README!$B$5),"Yes","No"))</f>
        <v/>
      </c>
    </row>
    <row r="119" customFormat="false" ht="15" hidden="false" customHeight="false" outlineLevel="0" collapsed="false">
      <c r="H119" s="11" t="str">
        <f aca="false">IF(A119="","",IF(AND(A119&gt;=README!$B$4,A119&lt;=README!$B$5),"Yes","No"))</f>
        <v/>
      </c>
    </row>
    <row r="120" customFormat="false" ht="15" hidden="false" customHeight="false" outlineLevel="0" collapsed="false">
      <c r="H120" s="11" t="str">
        <f aca="false">IF(A120="","",IF(AND(A120&gt;=README!$B$4,A120&lt;=README!$B$5),"Yes","No"))</f>
        <v/>
      </c>
    </row>
    <row r="121" customFormat="false" ht="15" hidden="false" customHeight="false" outlineLevel="0" collapsed="false">
      <c r="H121" s="11" t="str">
        <f aca="false">IF(A121="","",IF(AND(A121&gt;=README!$B$4,A121&lt;=README!$B$5),"Yes","No"))</f>
        <v/>
      </c>
    </row>
    <row r="122" customFormat="false" ht="15" hidden="false" customHeight="false" outlineLevel="0" collapsed="false">
      <c r="H122" s="11" t="str">
        <f aca="false">IF(A122="","",IF(AND(A122&gt;=README!$B$4,A122&lt;=README!$B$5),"Yes","No"))</f>
        <v/>
      </c>
    </row>
    <row r="123" customFormat="false" ht="15" hidden="false" customHeight="false" outlineLevel="0" collapsed="false">
      <c r="H123" s="11" t="str">
        <f aca="false">IF(A123="","",IF(AND(A123&gt;=README!$B$4,A123&lt;=README!$B$5),"Yes","No"))</f>
        <v/>
      </c>
    </row>
    <row r="124" customFormat="false" ht="15" hidden="false" customHeight="false" outlineLevel="0" collapsed="false">
      <c r="H124" s="11" t="str">
        <f aca="false">IF(A124="","",IF(AND(A124&gt;=README!$B$4,A124&lt;=README!$B$5),"Yes","No"))</f>
        <v/>
      </c>
    </row>
    <row r="125" customFormat="false" ht="15" hidden="false" customHeight="false" outlineLevel="0" collapsed="false">
      <c r="H125" s="11" t="str">
        <f aca="false">IF(A125="","",IF(AND(A125&gt;=README!$B$4,A125&lt;=README!$B$5),"Yes","No"))</f>
        <v/>
      </c>
    </row>
    <row r="126" customFormat="false" ht="15" hidden="false" customHeight="false" outlineLevel="0" collapsed="false">
      <c r="H126" s="11" t="str">
        <f aca="false">IF(A126="","",IF(AND(A126&gt;=README!$B$4,A126&lt;=README!$B$5),"Yes","No"))</f>
        <v/>
      </c>
    </row>
    <row r="127" customFormat="false" ht="15" hidden="false" customHeight="false" outlineLevel="0" collapsed="false">
      <c r="H127" s="11" t="str">
        <f aca="false">IF(A127="","",IF(AND(A127&gt;=README!$B$4,A127&lt;=README!$B$5),"Yes","No"))</f>
        <v/>
      </c>
    </row>
    <row r="128" customFormat="false" ht="15" hidden="false" customHeight="false" outlineLevel="0" collapsed="false">
      <c r="H128" s="11" t="str">
        <f aca="false">IF(A128="","",IF(AND(A128&gt;=README!$B$4,A128&lt;=README!$B$5),"Yes","No"))</f>
        <v/>
      </c>
    </row>
    <row r="129" customFormat="false" ht="15" hidden="false" customHeight="false" outlineLevel="0" collapsed="false">
      <c r="H129" s="11" t="str">
        <f aca="false">IF(A129="","",IF(AND(A129&gt;=README!$B$4,A129&lt;=README!$B$5),"Yes","No"))</f>
        <v/>
      </c>
    </row>
    <row r="130" customFormat="false" ht="15" hidden="false" customHeight="false" outlineLevel="0" collapsed="false">
      <c r="H130" s="11" t="str">
        <f aca="false">IF(A130="","",IF(AND(A130&gt;=README!$B$4,A130&lt;=README!$B$5),"Yes","No"))</f>
        <v/>
      </c>
    </row>
    <row r="131" customFormat="false" ht="15" hidden="false" customHeight="false" outlineLevel="0" collapsed="false">
      <c r="H131" s="11" t="str">
        <f aca="false">IF(A131="","",IF(AND(A131&gt;=README!$B$4,A131&lt;=README!$B$5),"Yes","No"))</f>
        <v/>
      </c>
    </row>
    <row r="132" customFormat="false" ht="15" hidden="false" customHeight="false" outlineLevel="0" collapsed="false">
      <c r="H132" s="11" t="str">
        <f aca="false">IF(A132="","",IF(AND(A132&gt;=README!$B$4,A132&lt;=README!$B$5),"Yes","No"))</f>
        <v/>
      </c>
    </row>
    <row r="133" customFormat="false" ht="15" hidden="false" customHeight="false" outlineLevel="0" collapsed="false">
      <c r="H133" s="11" t="str">
        <f aca="false">IF(A133="","",IF(AND(A133&gt;=README!$B$4,A133&lt;=README!$B$5),"Yes","No"))</f>
        <v/>
      </c>
    </row>
    <row r="134" customFormat="false" ht="15" hidden="false" customHeight="false" outlineLevel="0" collapsed="false">
      <c r="H134" s="11" t="str">
        <f aca="false">IF(A134="","",IF(AND(A134&gt;=README!$B$4,A134&lt;=README!$B$5),"Yes","No"))</f>
        <v/>
      </c>
    </row>
    <row r="135" customFormat="false" ht="15" hidden="false" customHeight="false" outlineLevel="0" collapsed="false">
      <c r="H135" s="11" t="str">
        <f aca="false">IF(A135="","",IF(AND(A135&gt;=README!$B$4,A135&lt;=README!$B$5),"Yes","No"))</f>
        <v/>
      </c>
    </row>
    <row r="136" customFormat="false" ht="15" hidden="false" customHeight="false" outlineLevel="0" collapsed="false">
      <c r="H136" s="11" t="str">
        <f aca="false">IF(A136="","",IF(AND(A136&gt;=README!$B$4,A136&lt;=README!$B$5),"Yes","No"))</f>
        <v/>
      </c>
    </row>
    <row r="137" customFormat="false" ht="15" hidden="false" customHeight="false" outlineLevel="0" collapsed="false">
      <c r="H137" s="11" t="str">
        <f aca="false">IF(A137="","",IF(AND(A137&gt;=README!$B$4,A137&lt;=README!$B$5),"Yes","No"))</f>
        <v/>
      </c>
    </row>
    <row r="138" customFormat="false" ht="15" hidden="false" customHeight="false" outlineLevel="0" collapsed="false">
      <c r="H138" s="11" t="str">
        <f aca="false">IF(A138="","",IF(AND(A138&gt;=README!$B$4,A138&lt;=README!$B$5),"Yes","No"))</f>
        <v/>
      </c>
    </row>
    <row r="139" customFormat="false" ht="15" hidden="false" customHeight="false" outlineLevel="0" collapsed="false">
      <c r="H139" s="11" t="str">
        <f aca="false">IF(A139="","",IF(AND(A139&gt;=README!$B$4,A139&lt;=README!$B$5),"Yes","No"))</f>
        <v/>
      </c>
    </row>
    <row r="140" customFormat="false" ht="15" hidden="false" customHeight="false" outlineLevel="0" collapsed="false">
      <c r="H140" s="11" t="str">
        <f aca="false">IF(A140="","",IF(AND(A140&gt;=README!$B$4,A140&lt;=README!$B$5),"Yes","No"))</f>
        <v/>
      </c>
    </row>
    <row r="141" customFormat="false" ht="15" hidden="false" customHeight="false" outlineLevel="0" collapsed="false">
      <c r="H141" s="11" t="str">
        <f aca="false">IF(A141="","",IF(AND(A141&gt;=README!$B$4,A141&lt;=README!$B$5),"Yes","No"))</f>
        <v/>
      </c>
    </row>
    <row r="142" customFormat="false" ht="15" hidden="false" customHeight="false" outlineLevel="0" collapsed="false">
      <c r="H142" s="11" t="str">
        <f aca="false">IF(A142="","",IF(AND(A142&gt;=README!$B$4,A142&lt;=README!$B$5),"Yes","No"))</f>
        <v/>
      </c>
    </row>
    <row r="143" customFormat="false" ht="15" hidden="false" customHeight="false" outlineLevel="0" collapsed="false">
      <c r="H143" s="11" t="str">
        <f aca="false">IF(A143="","",IF(AND(A143&gt;=README!$B$4,A143&lt;=README!$B$5),"Yes","No"))</f>
        <v/>
      </c>
    </row>
    <row r="144" customFormat="false" ht="15" hidden="false" customHeight="false" outlineLevel="0" collapsed="false">
      <c r="H144" s="11" t="str">
        <f aca="false">IF(A144="","",IF(AND(A144&gt;=README!$B$4,A144&lt;=README!$B$5),"Yes","No"))</f>
        <v/>
      </c>
    </row>
    <row r="145" customFormat="false" ht="15" hidden="false" customHeight="false" outlineLevel="0" collapsed="false">
      <c r="H145" s="11" t="str">
        <f aca="false">IF(A145="","",IF(AND(A145&gt;=README!$B$4,A145&lt;=README!$B$5),"Yes","No"))</f>
        <v/>
      </c>
    </row>
    <row r="146" customFormat="false" ht="15" hidden="false" customHeight="false" outlineLevel="0" collapsed="false">
      <c r="H146" s="11" t="str">
        <f aca="false">IF(A146="","",IF(AND(A146&gt;=README!$B$4,A146&lt;=README!$B$5),"Yes","No"))</f>
        <v/>
      </c>
    </row>
    <row r="147" customFormat="false" ht="15" hidden="false" customHeight="false" outlineLevel="0" collapsed="false">
      <c r="H147" s="11" t="str">
        <f aca="false">IF(A147="","",IF(AND(A147&gt;=README!$B$4,A147&lt;=README!$B$5),"Yes","No"))</f>
        <v/>
      </c>
    </row>
    <row r="148" customFormat="false" ht="15" hidden="false" customHeight="false" outlineLevel="0" collapsed="false">
      <c r="H148" s="11" t="str">
        <f aca="false">IF(A148="","",IF(AND(A148&gt;=README!$B$4,A148&lt;=README!$B$5),"Yes","No"))</f>
        <v/>
      </c>
    </row>
    <row r="149" customFormat="false" ht="15" hidden="false" customHeight="false" outlineLevel="0" collapsed="false">
      <c r="H149" s="11" t="str">
        <f aca="false">IF(A149="","",IF(AND(A149&gt;=README!$B$4,A149&lt;=README!$B$5),"Yes","No"))</f>
        <v/>
      </c>
    </row>
    <row r="150" customFormat="false" ht="15" hidden="false" customHeight="false" outlineLevel="0" collapsed="false">
      <c r="H150" s="11" t="str">
        <f aca="false">IF(A150="","",IF(AND(A150&gt;=README!$B$4,A150&lt;=README!$B$5),"Yes","No"))</f>
        <v/>
      </c>
    </row>
    <row r="151" customFormat="false" ht="15" hidden="false" customHeight="false" outlineLevel="0" collapsed="false">
      <c r="H151" s="11" t="str">
        <f aca="false">IF(A151="","",IF(AND(A151&gt;=README!$B$4,A151&lt;=README!$B$5),"Yes","No"))</f>
        <v/>
      </c>
    </row>
    <row r="152" customFormat="false" ht="15" hidden="false" customHeight="false" outlineLevel="0" collapsed="false">
      <c r="H152" s="11" t="str">
        <f aca="false">IF(A152="","",IF(AND(A152&gt;=README!$B$4,A152&lt;=README!$B$5),"Yes","No"))</f>
        <v/>
      </c>
    </row>
    <row r="153" customFormat="false" ht="15" hidden="false" customHeight="false" outlineLevel="0" collapsed="false">
      <c r="H153" s="11" t="str">
        <f aca="false">IF(A153="","",IF(AND(A153&gt;=README!$B$4,A153&lt;=README!$B$5),"Yes","No"))</f>
        <v/>
      </c>
    </row>
    <row r="154" customFormat="false" ht="15" hidden="false" customHeight="false" outlineLevel="0" collapsed="false">
      <c r="H154" s="11" t="str">
        <f aca="false">IF(A154="","",IF(AND(A154&gt;=README!$B$4,A154&lt;=README!$B$5),"Yes","No"))</f>
        <v/>
      </c>
    </row>
    <row r="155" customFormat="false" ht="15" hidden="false" customHeight="false" outlineLevel="0" collapsed="false">
      <c r="H155" s="11" t="str">
        <f aca="false">IF(A155="","",IF(AND(A155&gt;=README!$B$4,A155&lt;=README!$B$5),"Yes","No"))</f>
        <v/>
      </c>
    </row>
    <row r="156" customFormat="false" ht="15" hidden="false" customHeight="false" outlineLevel="0" collapsed="false">
      <c r="H156" s="11" t="str">
        <f aca="false">IF(A156="","",IF(AND(A156&gt;=README!$B$4,A156&lt;=README!$B$5),"Yes","No"))</f>
        <v/>
      </c>
    </row>
    <row r="157" customFormat="false" ht="15" hidden="false" customHeight="false" outlineLevel="0" collapsed="false">
      <c r="H157" s="11" t="str">
        <f aca="false">IF(A157="","",IF(AND(A157&gt;=README!$B$4,A157&lt;=README!$B$5),"Yes","No"))</f>
        <v/>
      </c>
    </row>
    <row r="158" customFormat="false" ht="15" hidden="false" customHeight="false" outlineLevel="0" collapsed="false">
      <c r="H158" s="11" t="str">
        <f aca="false">IF(A158="","",IF(AND(A158&gt;=README!$B$4,A158&lt;=README!$B$5),"Yes","No"))</f>
        <v/>
      </c>
    </row>
    <row r="159" customFormat="false" ht="15" hidden="false" customHeight="false" outlineLevel="0" collapsed="false">
      <c r="H159" s="11" t="str">
        <f aca="false">IF(A159="","",IF(AND(A159&gt;=README!$B$4,A159&lt;=README!$B$5),"Yes","No"))</f>
        <v/>
      </c>
    </row>
    <row r="160" customFormat="false" ht="15" hidden="false" customHeight="false" outlineLevel="0" collapsed="false">
      <c r="H160" s="11" t="str">
        <f aca="false">IF(A160="","",IF(AND(A160&gt;=README!$B$4,A160&lt;=README!$B$5),"Yes","No"))</f>
        <v/>
      </c>
    </row>
    <row r="161" customFormat="false" ht="15" hidden="false" customHeight="false" outlineLevel="0" collapsed="false">
      <c r="H161" s="11" t="str">
        <f aca="false">IF(A161="","",IF(AND(A161&gt;=README!$B$4,A161&lt;=README!$B$5),"Yes","No"))</f>
        <v/>
      </c>
    </row>
    <row r="162" customFormat="false" ht="15" hidden="false" customHeight="false" outlineLevel="0" collapsed="false">
      <c r="H162" s="11" t="str">
        <f aca="false">IF(A162="","",IF(AND(A162&gt;=README!$B$4,A162&lt;=README!$B$5),"Yes","No"))</f>
        <v/>
      </c>
    </row>
    <row r="163" customFormat="false" ht="15" hidden="false" customHeight="false" outlineLevel="0" collapsed="false">
      <c r="H163" s="11" t="str">
        <f aca="false">IF(A163="","",IF(AND(A163&gt;=README!$B$4,A163&lt;=README!$B$5),"Yes","No"))</f>
        <v/>
      </c>
    </row>
    <row r="164" customFormat="false" ht="15" hidden="false" customHeight="false" outlineLevel="0" collapsed="false">
      <c r="H164" s="11" t="str">
        <f aca="false">IF(A164="","",IF(AND(A164&gt;=README!$B$4,A164&lt;=README!$B$5),"Yes","No"))</f>
        <v/>
      </c>
    </row>
    <row r="165" customFormat="false" ht="15" hidden="false" customHeight="false" outlineLevel="0" collapsed="false">
      <c r="H165" s="11" t="str">
        <f aca="false">IF(A165="","",IF(AND(A165&gt;=README!$B$4,A165&lt;=README!$B$5),"Yes","No"))</f>
        <v/>
      </c>
    </row>
    <row r="166" customFormat="false" ht="15" hidden="false" customHeight="false" outlineLevel="0" collapsed="false">
      <c r="H166" s="11" t="str">
        <f aca="false">IF(A166="","",IF(AND(A166&gt;=README!$B$4,A166&lt;=README!$B$5),"Yes","No"))</f>
        <v/>
      </c>
    </row>
    <row r="167" customFormat="false" ht="15" hidden="false" customHeight="false" outlineLevel="0" collapsed="false">
      <c r="H167" s="11" t="str">
        <f aca="false">IF(A167="","",IF(AND(A167&gt;=README!$B$4,A167&lt;=README!$B$5),"Yes","No"))</f>
        <v/>
      </c>
    </row>
    <row r="168" customFormat="false" ht="15" hidden="false" customHeight="false" outlineLevel="0" collapsed="false">
      <c r="H168" s="11" t="str">
        <f aca="false">IF(A168="","",IF(AND(A168&gt;=README!$B$4,A168&lt;=README!$B$5),"Yes","No"))</f>
        <v/>
      </c>
    </row>
    <row r="169" customFormat="false" ht="15" hidden="false" customHeight="false" outlineLevel="0" collapsed="false">
      <c r="H169" s="11" t="str">
        <f aca="false">IF(A169="","",IF(AND(A169&gt;=README!$B$4,A169&lt;=README!$B$5),"Yes","No"))</f>
        <v/>
      </c>
    </row>
    <row r="170" customFormat="false" ht="15" hidden="false" customHeight="false" outlineLevel="0" collapsed="false">
      <c r="H170" s="11" t="str">
        <f aca="false">IF(A170="","",IF(AND(A170&gt;=README!$B$4,A170&lt;=README!$B$5),"Yes","No"))</f>
        <v/>
      </c>
    </row>
    <row r="171" customFormat="false" ht="15" hidden="false" customHeight="false" outlineLevel="0" collapsed="false">
      <c r="H171" s="11" t="str">
        <f aca="false">IF(A171="","",IF(AND(A171&gt;=README!$B$4,A171&lt;=README!$B$5),"Yes","No"))</f>
        <v/>
      </c>
    </row>
    <row r="172" customFormat="false" ht="15" hidden="false" customHeight="false" outlineLevel="0" collapsed="false">
      <c r="H172" s="11" t="str">
        <f aca="false">IF(A172="","",IF(AND(A172&gt;=README!$B$4,A172&lt;=README!$B$5),"Yes","No"))</f>
        <v/>
      </c>
    </row>
    <row r="173" customFormat="false" ht="15" hidden="false" customHeight="false" outlineLevel="0" collapsed="false">
      <c r="H173" s="11" t="str">
        <f aca="false">IF(A173="","",IF(AND(A173&gt;=README!$B$4,A173&lt;=README!$B$5),"Yes","No"))</f>
        <v/>
      </c>
    </row>
    <row r="174" customFormat="false" ht="15" hidden="false" customHeight="false" outlineLevel="0" collapsed="false">
      <c r="H174" s="11" t="str">
        <f aca="false">IF(A174="","",IF(AND(A174&gt;=README!$B$4,A174&lt;=README!$B$5),"Yes","No"))</f>
        <v/>
      </c>
    </row>
    <row r="175" customFormat="false" ht="15" hidden="false" customHeight="false" outlineLevel="0" collapsed="false">
      <c r="H175" s="11" t="str">
        <f aca="false">IF(A175="","",IF(AND(A175&gt;=README!$B$4,A175&lt;=README!$B$5),"Yes","No"))</f>
        <v/>
      </c>
    </row>
    <row r="176" customFormat="false" ht="15" hidden="false" customHeight="false" outlineLevel="0" collapsed="false">
      <c r="H176" s="11" t="str">
        <f aca="false">IF(A176="","",IF(AND(A176&gt;=README!$B$4,A176&lt;=README!$B$5),"Yes","No"))</f>
        <v/>
      </c>
    </row>
    <row r="177" customFormat="false" ht="15" hidden="false" customHeight="false" outlineLevel="0" collapsed="false">
      <c r="H177" s="11" t="str">
        <f aca="false">IF(A177="","",IF(AND(A177&gt;=README!$B$4,A177&lt;=README!$B$5),"Yes","No"))</f>
        <v/>
      </c>
    </row>
    <row r="178" customFormat="false" ht="15" hidden="false" customHeight="false" outlineLevel="0" collapsed="false">
      <c r="H178" s="11" t="str">
        <f aca="false">IF(A178="","",IF(AND(A178&gt;=README!$B$4,A178&lt;=README!$B$5),"Yes","No"))</f>
        <v/>
      </c>
    </row>
    <row r="179" customFormat="false" ht="15" hidden="false" customHeight="false" outlineLevel="0" collapsed="false">
      <c r="H179" s="11" t="str">
        <f aca="false">IF(A179="","",IF(AND(A179&gt;=README!$B$4,A179&lt;=README!$B$5),"Yes","No"))</f>
        <v/>
      </c>
    </row>
    <row r="180" customFormat="false" ht="15" hidden="false" customHeight="false" outlineLevel="0" collapsed="false">
      <c r="H180" s="11" t="str">
        <f aca="false">IF(A180="","",IF(AND(A180&gt;=README!$B$4,A180&lt;=README!$B$5),"Yes","No"))</f>
        <v/>
      </c>
    </row>
    <row r="181" customFormat="false" ht="15" hidden="false" customHeight="false" outlineLevel="0" collapsed="false">
      <c r="H181" s="11" t="str">
        <f aca="false">IF(A181="","",IF(AND(A181&gt;=README!$B$4,A181&lt;=README!$B$5),"Yes","No"))</f>
        <v/>
      </c>
    </row>
    <row r="182" customFormat="false" ht="15" hidden="false" customHeight="false" outlineLevel="0" collapsed="false">
      <c r="H182" s="11" t="str">
        <f aca="false">IF(A182="","",IF(AND(A182&gt;=README!$B$4,A182&lt;=README!$B$5),"Yes","No"))</f>
        <v/>
      </c>
    </row>
    <row r="183" customFormat="false" ht="15" hidden="false" customHeight="false" outlineLevel="0" collapsed="false">
      <c r="H183" s="11" t="str">
        <f aca="false">IF(A183="","",IF(AND(A183&gt;=README!$B$4,A183&lt;=README!$B$5),"Yes","No"))</f>
        <v/>
      </c>
    </row>
    <row r="184" customFormat="false" ht="15" hidden="false" customHeight="false" outlineLevel="0" collapsed="false">
      <c r="H184" s="11" t="str">
        <f aca="false">IF(A184="","",IF(AND(A184&gt;=README!$B$4,A184&lt;=README!$B$5),"Yes","No"))</f>
        <v/>
      </c>
    </row>
    <row r="185" customFormat="false" ht="15" hidden="false" customHeight="false" outlineLevel="0" collapsed="false">
      <c r="H185" s="11" t="str">
        <f aca="false">IF(A185="","",IF(AND(A185&gt;=README!$B$4,A185&lt;=README!$B$5),"Yes","No"))</f>
        <v/>
      </c>
    </row>
    <row r="186" customFormat="false" ht="15" hidden="false" customHeight="false" outlineLevel="0" collapsed="false">
      <c r="H186" s="11" t="str">
        <f aca="false">IF(A186="","",IF(AND(A186&gt;=README!$B$4,A186&lt;=README!$B$5),"Yes","No"))</f>
        <v/>
      </c>
    </row>
    <row r="187" customFormat="false" ht="15" hidden="false" customHeight="false" outlineLevel="0" collapsed="false">
      <c r="H187" s="11" t="str">
        <f aca="false">IF(A187="","",IF(AND(A187&gt;=README!$B$4,A187&lt;=README!$B$5),"Yes","No"))</f>
        <v/>
      </c>
    </row>
    <row r="188" customFormat="false" ht="15" hidden="false" customHeight="false" outlineLevel="0" collapsed="false">
      <c r="H188" s="11" t="str">
        <f aca="false">IF(A188="","",IF(AND(A188&gt;=README!$B$4,A188&lt;=README!$B$5),"Yes","No"))</f>
        <v/>
      </c>
    </row>
    <row r="189" customFormat="false" ht="15" hidden="false" customHeight="false" outlineLevel="0" collapsed="false">
      <c r="H189" s="11" t="str">
        <f aca="false">IF(A189="","",IF(AND(A189&gt;=README!$B$4,A189&lt;=README!$B$5),"Yes","No"))</f>
        <v/>
      </c>
    </row>
    <row r="190" customFormat="false" ht="15" hidden="false" customHeight="false" outlineLevel="0" collapsed="false">
      <c r="H190" s="11" t="str">
        <f aca="false">IF(A190="","",IF(AND(A190&gt;=README!$B$4,A190&lt;=README!$B$5),"Yes","No"))</f>
        <v/>
      </c>
    </row>
    <row r="191" customFormat="false" ht="15" hidden="false" customHeight="false" outlineLevel="0" collapsed="false">
      <c r="H191" s="11" t="str">
        <f aca="false">IF(A191="","",IF(AND(A191&gt;=README!$B$4,A191&lt;=README!$B$5),"Yes","No"))</f>
        <v/>
      </c>
    </row>
    <row r="192" customFormat="false" ht="15" hidden="false" customHeight="false" outlineLevel="0" collapsed="false">
      <c r="H192" s="11" t="str">
        <f aca="false">IF(A192="","",IF(AND(A192&gt;=README!$B$4,A192&lt;=README!$B$5),"Yes","No"))</f>
        <v/>
      </c>
    </row>
    <row r="193" customFormat="false" ht="15" hidden="false" customHeight="false" outlineLevel="0" collapsed="false">
      <c r="H193" s="11" t="str">
        <f aca="false">IF(A193="","",IF(AND(A193&gt;=README!$B$4,A193&lt;=README!$B$5),"Yes","No"))</f>
        <v/>
      </c>
    </row>
    <row r="194" customFormat="false" ht="15" hidden="false" customHeight="false" outlineLevel="0" collapsed="false">
      <c r="H194" s="11" t="str">
        <f aca="false">IF(A194="","",IF(AND(A194&gt;=README!$B$4,A194&lt;=README!$B$5),"Yes","No"))</f>
        <v/>
      </c>
    </row>
    <row r="195" customFormat="false" ht="15" hidden="false" customHeight="false" outlineLevel="0" collapsed="false">
      <c r="H195" s="11" t="str">
        <f aca="false">IF(A195="","",IF(AND(A195&gt;=README!$B$4,A195&lt;=README!$B$5),"Yes","No"))</f>
        <v/>
      </c>
    </row>
    <row r="196" customFormat="false" ht="15" hidden="false" customHeight="false" outlineLevel="0" collapsed="false">
      <c r="H196" s="11" t="str">
        <f aca="false">IF(A196="","",IF(AND(A196&gt;=README!$B$4,A196&lt;=README!$B$5),"Yes","No"))</f>
        <v/>
      </c>
    </row>
    <row r="197" customFormat="false" ht="15" hidden="false" customHeight="false" outlineLevel="0" collapsed="false">
      <c r="H197" s="11" t="str">
        <f aca="false">IF(A197="","",IF(AND(A197&gt;=README!$B$4,A197&lt;=README!$B$5),"Yes","No"))</f>
        <v/>
      </c>
    </row>
    <row r="198" customFormat="false" ht="15" hidden="false" customHeight="false" outlineLevel="0" collapsed="false">
      <c r="H198" s="11" t="str">
        <f aca="false">IF(A198="","",IF(AND(A198&gt;=README!$B$4,A198&lt;=README!$B$5),"Yes","No"))</f>
        <v/>
      </c>
    </row>
    <row r="199" customFormat="false" ht="15" hidden="false" customHeight="false" outlineLevel="0" collapsed="false">
      <c r="H199" s="11" t="str">
        <f aca="false">IF(A199="","",IF(AND(A199&gt;=README!$B$4,A199&lt;=README!$B$5),"Yes","No"))</f>
        <v/>
      </c>
    </row>
    <row r="200" customFormat="false" ht="15" hidden="false" customHeight="false" outlineLevel="0" collapsed="false">
      <c r="H200" s="11" t="str">
        <f aca="false">IF(A200="","",IF(AND(A200&gt;=README!$B$4,A200&lt;=README!$B$5),"Yes","No"))</f>
        <v/>
      </c>
    </row>
    <row r="201" customFormat="false" ht="15" hidden="false" customHeight="false" outlineLevel="0" collapsed="false">
      <c r="H201" s="11" t="str">
        <f aca="false">IF(A201="","",IF(AND(A201&gt;=README!$B$4,A201&lt;=README!$B$5),"Yes","No"))</f>
        <v/>
      </c>
    </row>
  </sheetData>
  <dataValidations count="1">
    <dataValidation allowBlank="true" errorStyle="stop" operator="between" showDropDown="false" showErrorMessage="false" showInputMessage="false" sqref="B2:B201" type="list">
      <formula1>"Decode: Veritas,Fliq,Other"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6" min="6" style="0" width="13"/>
    <col collapsed="false" customWidth="true" hidden="false" outlineLevel="0" max="7" min="7" style="0" width="24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5" t="s">
        <v>40</v>
      </c>
      <c r="B1" s="5" t="s">
        <v>20</v>
      </c>
      <c r="C1" s="5" t="s">
        <v>49</v>
      </c>
      <c r="D1" s="5" t="s">
        <v>21</v>
      </c>
      <c r="E1" s="5" t="s">
        <v>50</v>
      </c>
      <c r="F1" s="5" t="s">
        <v>51</v>
      </c>
      <c r="G1" s="5" t="s">
        <v>52</v>
      </c>
      <c r="H1" s="5" t="s">
        <v>30</v>
      </c>
    </row>
    <row r="2" customFormat="false" ht="15" hidden="false" customHeight="false" outlineLevel="0" collapsed="false">
      <c r="A2" s="7" t="n">
        <v>46328</v>
      </c>
      <c r="B2" s="6" t="s">
        <v>53</v>
      </c>
      <c r="C2" s="6" t="s">
        <v>54</v>
      </c>
      <c r="D2" s="6" t="s">
        <v>55</v>
      </c>
      <c r="E2" s="6" t="s">
        <v>56</v>
      </c>
      <c r="F2" s="12" t="n">
        <v>120</v>
      </c>
      <c r="G2" s="6" t="s">
        <v>57</v>
      </c>
      <c r="H2" s="9" t="str">
        <f aca="false">IF(A2="","",IF(AND(A2&gt;=README!$B$4,A2&lt;=README!$B$5),"Yes","No"))</f>
        <v>Yes</v>
      </c>
    </row>
    <row r="3" customFormat="false" ht="15" hidden="false" customHeight="false" outlineLevel="0" collapsed="false">
      <c r="A3" s="7" t="n">
        <v>46346</v>
      </c>
      <c r="B3" s="6" t="s">
        <v>34</v>
      </c>
      <c r="C3" s="6" t="s">
        <v>54</v>
      </c>
      <c r="D3" s="6" t="s">
        <v>55</v>
      </c>
      <c r="E3" s="6" t="s">
        <v>58</v>
      </c>
      <c r="F3" s="12" t="n">
        <v>250</v>
      </c>
      <c r="G3" s="6" t="s">
        <v>59</v>
      </c>
      <c r="H3" s="9" t="str">
        <f aca="false">IF(A3="","",IF(AND(A3&gt;=README!$B$4,A3&lt;=README!$B$5),"Yes","No"))</f>
        <v>Yes</v>
      </c>
    </row>
    <row r="4" customFormat="false" ht="15" hidden="false" customHeight="false" outlineLevel="0" collapsed="false">
      <c r="A4" s="7" t="n">
        <v>46357</v>
      </c>
      <c r="B4" s="6" t="s">
        <v>53</v>
      </c>
      <c r="C4" s="6" t="s">
        <v>60</v>
      </c>
      <c r="D4" s="6" t="s">
        <v>61</v>
      </c>
      <c r="E4" s="6" t="s">
        <v>62</v>
      </c>
      <c r="F4" s="12" t="n">
        <v>10000</v>
      </c>
      <c r="G4" s="6" t="s">
        <v>63</v>
      </c>
      <c r="H4" s="9" t="str">
        <f aca="false">IF(A4="","",IF(AND(A4&gt;=README!$B$4,A4&lt;=README!$B$5),"Yes","No"))</f>
        <v>Yes</v>
      </c>
    </row>
    <row r="5" customFormat="false" ht="15" hidden="false" customHeight="false" outlineLevel="0" collapsed="false">
      <c r="A5" s="7" t="n">
        <v>46356</v>
      </c>
      <c r="B5" s="6" t="s">
        <v>53</v>
      </c>
      <c r="C5" s="6" t="s">
        <v>64</v>
      </c>
      <c r="D5" s="6" t="s">
        <v>65</v>
      </c>
      <c r="E5" s="6" t="s">
        <v>66</v>
      </c>
      <c r="F5" s="12" t="n">
        <v>310</v>
      </c>
      <c r="G5" s="6" t="s">
        <v>67</v>
      </c>
      <c r="H5" s="9" t="str">
        <f aca="false">IF(A5="","",IF(AND(A5&gt;=README!$B$4,A5&lt;=README!$B$5),"Yes","No"))</f>
        <v>Yes</v>
      </c>
    </row>
    <row r="6" customFormat="false" ht="15" hidden="false" customHeight="false" outlineLevel="0" collapsed="false">
      <c r="H6" s="11" t="str">
        <f aca="false">IF(A6="","",IF(AND(A6&gt;=README!$B$4,A6&lt;=README!$B$5),"Yes","No"))</f>
        <v/>
      </c>
    </row>
    <row r="7" customFormat="false" ht="15" hidden="false" customHeight="false" outlineLevel="0" collapsed="false">
      <c r="H7" s="11" t="str">
        <f aca="false">IF(A7="","",IF(AND(A7&gt;=README!$B$4,A7&lt;=README!$B$5),"Yes","No"))</f>
        <v/>
      </c>
    </row>
    <row r="8" customFormat="false" ht="15" hidden="false" customHeight="false" outlineLevel="0" collapsed="false">
      <c r="H8" s="11" t="str">
        <f aca="false">IF(A8="","",IF(AND(A8&gt;=README!$B$4,A8&lt;=README!$B$5),"Yes","No"))</f>
        <v/>
      </c>
    </row>
    <row r="9" customFormat="false" ht="15" hidden="false" customHeight="false" outlineLevel="0" collapsed="false">
      <c r="H9" s="11" t="str">
        <f aca="false">IF(A9="","",IF(AND(A9&gt;=README!$B$4,A9&lt;=README!$B$5),"Yes","No"))</f>
        <v/>
      </c>
    </row>
    <row r="10" customFormat="false" ht="15" hidden="false" customHeight="false" outlineLevel="0" collapsed="false">
      <c r="H10" s="11" t="str">
        <f aca="false">IF(A10="","",IF(AND(A10&gt;=README!$B$4,A10&lt;=README!$B$5),"Yes","No"))</f>
        <v/>
      </c>
    </row>
    <row r="11" customFormat="false" ht="15" hidden="false" customHeight="false" outlineLevel="0" collapsed="false">
      <c r="H11" s="11" t="str">
        <f aca="false">IF(A11="","",IF(AND(A11&gt;=README!$B$4,A11&lt;=README!$B$5),"Yes","No"))</f>
        <v/>
      </c>
    </row>
    <row r="12" customFormat="false" ht="15" hidden="false" customHeight="false" outlineLevel="0" collapsed="false">
      <c r="H12" s="11" t="str">
        <f aca="false">IF(A12="","",IF(AND(A12&gt;=README!$B$4,A12&lt;=README!$B$5),"Yes","No"))</f>
        <v/>
      </c>
    </row>
    <row r="13" customFormat="false" ht="15" hidden="false" customHeight="false" outlineLevel="0" collapsed="false">
      <c r="H13" s="11" t="str">
        <f aca="false">IF(A13="","",IF(AND(A13&gt;=README!$B$4,A13&lt;=README!$B$5),"Yes","No"))</f>
        <v/>
      </c>
    </row>
    <row r="14" customFormat="false" ht="15" hidden="false" customHeight="false" outlineLevel="0" collapsed="false">
      <c r="H14" s="11" t="str">
        <f aca="false">IF(A14="","",IF(AND(A14&gt;=README!$B$4,A14&lt;=README!$B$5),"Yes","No"))</f>
        <v/>
      </c>
    </row>
    <row r="15" customFormat="false" ht="15" hidden="false" customHeight="false" outlineLevel="0" collapsed="false">
      <c r="H15" s="11" t="str">
        <f aca="false">IF(A15="","",IF(AND(A15&gt;=README!$B$4,A15&lt;=README!$B$5),"Yes","No"))</f>
        <v/>
      </c>
    </row>
    <row r="16" customFormat="false" ht="15" hidden="false" customHeight="false" outlineLevel="0" collapsed="false">
      <c r="H16" s="11" t="str">
        <f aca="false">IF(A16="","",IF(AND(A16&gt;=README!$B$4,A16&lt;=README!$B$5),"Yes","No"))</f>
        <v/>
      </c>
    </row>
    <row r="17" customFormat="false" ht="15" hidden="false" customHeight="false" outlineLevel="0" collapsed="false">
      <c r="H17" s="11" t="str">
        <f aca="false">IF(A17="","",IF(AND(A17&gt;=README!$B$4,A17&lt;=README!$B$5),"Yes","No"))</f>
        <v/>
      </c>
    </row>
    <row r="18" customFormat="false" ht="15" hidden="false" customHeight="false" outlineLevel="0" collapsed="false">
      <c r="H18" s="11" t="str">
        <f aca="false">IF(A18="","",IF(AND(A18&gt;=README!$B$4,A18&lt;=README!$B$5),"Yes","No"))</f>
        <v/>
      </c>
    </row>
    <row r="19" customFormat="false" ht="15" hidden="false" customHeight="false" outlineLevel="0" collapsed="false">
      <c r="H19" s="11" t="str">
        <f aca="false">IF(A19="","",IF(AND(A19&gt;=README!$B$4,A19&lt;=README!$B$5),"Yes","No"))</f>
        <v/>
      </c>
    </row>
    <row r="20" customFormat="false" ht="15" hidden="false" customHeight="false" outlineLevel="0" collapsed="false">
      <c r="H20" s="11" t="str">
        <f aca="false">IF(A20="","",IF(AND(A20&gt;=README!$B$4,A20&lt;=README!$B$5),"Yes","No"))</f>
        <v/>
      </c>
    </row>
    <row r="21" customFormat="false" ht="15" hidden="false" customHeight="false" outlineLevel="0" collapsed="false">
      <c r="H21" s="11" t="str">
        <f aca="false">IF(A21="","",IF(AND(A21&gt;=README!$B$4,A21&lt;=README!$B$5),"Yes","No"))</f>
        <v/>
      </c>
    </row>
    <row r="22" customFormat="false" ht="15" hidden="false" customHeight="false" outlineLevel="0" collapsed="false">
      <c r="H22" s="11" t="str">
        <f aca="false">IF(A22="","",IF(AND(A22&gt;=README!$B$4,A22&lt;=README!$B$5),"Yes","No"))</f>
        <v/>
      </c>
    </row>
    <row r="23" customFormat="false" ht="15" hidden="false" customHeight="false" outlineLevel="0" collapsed="false">
      <c r="H23" s="11" t="str">
        <f aca="false">IF(A23="","",IF(AND(A23&gt;=README!$B$4,A23&lt;=README!$B$5),"Yes","No"))</f>
        <v/>
      </c>
    </row>
    <row r="24" customFormat="false" ht="15" hidden="false" customHeight="false" outlineLevel="0" collapsed="false">
      <c r="H24" s="11" t="str">
        <f aca="false">IF(A24="","",IF(AND(A24&gt;=README!$B$4,A24&lt;=README!$B$5),"Yes","No"))</f>
        <v/>
      </c>
    </row>
    <row r="25" customFormat="false" ht="15" hidden="false" customHeight="false" outlineLevel="0" collapsed="false">
      <c r="H25" s="11" t="str">
        <f aca="false">IF(A25="","",IF(AND(A25&gt;=README!$B$4,A25&lt;=README!$B$5),"Yes","No"))</f>
        <v/>
      </c>
    </row>
    <row r="26" customFormat="false" ht="15" hidden="false" customHeight="false" outlineLevel="0" collapsed="false">
      <c r="H26" s="11" t="str">
        <f aca="false">IF(A26="","",IF(AND(A26&gt;=README!$B$4,A26&lt;=README!$B$5),"Yes","No"))</f>
        <v/>
      </c>
    </row>
    <row r="27" customFormat="false" ht="15" hidden="false" customHeight="false" outlineLevel="0" collapsed="false">
      <c r="H27" s="11" t="str">
        <f aca="false">IF(A27="","",IF(AND(A27&gt;=README!$B$4,A27&lt;=README!$B$5),"Yes","No"))</f>
        <v/>
      </c>
    </row>
    <row r="28" customFormat="false" ht="15" hidden="false" customHeight="false" outlineLevel="0" collapsed="false">
      <c r="H28" s="11" t="str">
        <f aca="false">IF(A28="","",IF(AND(A28&gt;=README!$B$4,A28&lt;=README!$B$5),"Yes","No"))</f>
        <v/>
      </c>
    </row>
    <row r="29" customFormat="false" ht="15" hidden="false" customHeight="false" outlineLevel="0" collapsed="false">
      <c r="H29" s="11" t="str">
        <f aca="false">IF(A29="","",IF(AND(A29&gt;=README!$B$4,A29&lt;=README!$B$5),"Yes","No"))</f>
        <v/>
      </c>
    </row>
    <row r="30" customFormat="false" ht="15" hidden="false" customHeight="false" outlineLevel="0" collapsed="false">
      <c r="H30" s="11" t="str">
        <f aca="false">IF(A30="","",IF(AND(A30&gt;=README!$B$4,A30&lt;=README!$B$5),"Yes","No"))</f>
        <v/>
      </c>
    </row>
    <row r="31" customFormat="false" ht="15" hidden="false" customHeight="false" outlineLevel="0" collapsed="false">
      <c r="H31" s="11" t="str">
        <f aca="false">IF(A31="","",IF(AND(A31&gt;=README!$B$4,A31&lt;=README!$B$5),"Yes","No"))</f>
        <v/>
      </c>
    </row>
    <row r="32" customFormat="false" ht="15" hidden="false" customHeight="false" outlineLevel="0" collapsed="false">
      <c r="H32" s="11" t="str">
        <f aca="false">IF(A32="","",IF(AND(A32&gt;=README!$B$4,A32&lt;=README!$B$5),"Yes","No"))</f>
        <v/>
      </c>
    </row>
    <row r="33" customFormat="false" ht="15" hidden="false" customHeight="false" outlineLevel="0" collapsed="false">
      <c r="H33" s="11" t="str">
        <f aca="false">IF(A33="","",IF(AND(A33&gt;=README!$B$4,A33&lt;=README!$B$5),"Yes","No"))</f>
        <v/>
      </c>
    </row>
    <row r="34" customFormat="false" ht="15" hidden="false" customHeight="false" outlineLevel="0" collapsed="false">
      <c r="H34" s="11" t="str">
        <f aca="false">IF(A34="","",IF(AND(A34&gt;=README!$B$4,A34&lt;=README!$B$5),"Yes","No"))</f>
        <v/>
      </c>
    </row>
    <row r="35" customFormat="false" ht="15" hidden="false" customHeight="false" outlineLevel="0" collapsed="false">
      <c r="H35" s="11" t="str">
        <f aca="false">IF(A35="","",IF(AND(A35&gt;=README!$B$4,A35&lt;=README!$B$5),"Yes","No"))</f>
        <v/>
      </c>
    </row>
    <row r="36" customFormat="false" ht="15" hidden="false" customHeight="false" outlineLevel="0" collapsed="false">
      <c r="H36" s="11" t="str">
        <f aca="false">IF(A36="","",IF(AND(A36&gt;=README!$B$4,A36&lt;=README!$B$5),"Yes","No"))</f>
        <v/>
      </c>
    </row>
    <row r="37" customFormat="false" ht="15" hidden="false" customHeight="false" outlineLevel="0" collapsed="false">
      <c r="H37" s="11" t="str">
        <f aca="false">IF(A37="","",IF(AND(A37&gt;=README!$B$4,A37&lt;=README!$B$5),"Yes","No"))</f>
        <v/>
      </c>
    </row>
    <row r="38" customFormat="false" ht="15" hidden="false" customHeight="false" outlineLevel="0" collapsed="false">
      <c r="H38" s="11" t="str">
        <f aca="false">IF(A38="","",IF(AND(A38&gt;=README!$B$4,A38&lt;=README!$B$5),"Yes","No"))</f>
        <v/>
      </c>
    </row>
    <row r="39" customFormat="false" ht="15" hidden="false" customHeight="false" outlineLevel="0" collapsed="false">
      <c r="H39" s="11" t="str">
        <f aca="false">IF(A39="","",IF(AND(A39&gt;=README!$B$4,A39&lt;=README!$B$5),"Yes","No"))</f>
        <v/>
      </c>
    </row>
    <row r="40" customFormat="false" ht="15" hidden="false" customHeight="false" outlineLevel="0" collapsed="false">
      <c r="H40" s="11" t="str">
        <f aca="false">IF(A40="","",IF(AND(A40&gt;=README!$B$4,A40&lt;=README!$B$5),"Yes","No"))</f>
        <v/>
      </c>
    </row>
    <row r="41" customFormat="false" ht="15" hidden="false" customHeight="false" outlineLevel="0" collapsed="false">
      <c r="H41" s="11" t="str">
        <f aca="false">IF(A41="","",IF(AND(A41&gt;=README!$B$4,A41&lt;=README!$B$5),"Yes","No"))</f>
        <v/>
      </c>
    </row>
    <row r="42" customFormat="false" ht="15" hidden="false" customHeight="false" outlineLevel="0" collapsed="false">
      <c r="H42" s="11" t="str">
        <f aca="false">IF(A42="","",IF(AND(A42&gt;=README!$B$4,A42&lt;=README!$B$5),"Yes","No"))</f>
        <v/>
      </c>
    </row>
    <row r="43" customFormat="false" ht="15" hidden="false" customHeight="false" outlineLevel="0" collapsed="false">
      <c r="H43" s="11" t="str">
        <f aca="false">IF(A43="","",IF(AND(A43&gt;=README!$B$4,A43&lt;=README!$B$5),"Yes","No"))</f>
        <v/>
      </c>
    </row>
    <row r="44" customFormat="false" ht="15" hidden="false" customHeight="false" outlineLevel="0" collapsed="false">
      <c r="H44" s="11" t="str">
        <f aca="false">IF(A44="","",IF(AND(A44&gt;=README!$B$4,A44&lt;=README!$B$5),"Yes","No"))</f>
        <v/>
      </c>
    </row>
    <row r="45" customFormat="false" ht="15" hidden="false" customHeight="false" outlineLevel="0" collapsed="false">
      <c r="H45" s="11" t="str">
        <f aca="false">IF(A45="","",IF(AND(A45&gt;=README!$B$4,A45&lt;=README!$B$5),"Yes","No"))</f>
        <v/>
      </c>
    </row>
    <row r="46" customFormat="false" ht="15" hidden="false" customHeight="false" outlineLevel="0" collapsed="false">
      <c r="H46" s="11" t="str">
        <f aca="false">IF(A46="","",IF(AND(A46&gt;=README!$B$4,A46&lt;=README!$B$5),"Yes","No"))</f>
        <v/>
      </c>
    </row>
    <row r="47" customFormat="false" ht="15" hidden="false" customHeight="false" outlineLevel="0" collapsed="false">
      <c r="H47" s="11" t="str">
        <f aca="false">IF(A47="","",IF(AND(A47&gt;=README!$B$4,A47&lt;=README!$B$5),"Yes","No"))</f>
        <v/>
      </c>
    </row>
    <row r="48" customFormat="false" ht="15" hidden="false" customHeight="false" outlineLevel="0" collapsed="false">
      <c r="H48" s="11" t="str">
        <f aca="false">IF(A48="","",IF(AND(A48&gt;=README!$B$4,A48&lt;=README!$B$5),"Yes","No"))</f>
        <v/>
      </c>
    </row>
    <row r="49" customFormat="false" ht="15" hidden="false" customHeight="false" outlineLevel="0" collapsed="false">
      <c r="H49" s="11" t="str">
        <f aca="false">IF(A49="","",IF(AND(A49&gt;=README!$B$4,A49&lt;=README!$B$5),"Yes","No"))</f>
        <v/>
      </c>
    </row>
    <row r="50" customFormat="false" ht="15" hidden="false" customHeight="false" outlineLevel="0" collapsed="false">
      <c r="H50" s="11" t="str">
        <f aca="false">IF(A50="","",IF(AND(A50&gt;=README!$B$4,A50&lt;=README!$B$5),"Yes","No"))</f>
        <v/>
      </c>
    </row>
    <row r="51" customFormat="false" ht="15" hidden="false" customHeight="false" outlineLevel="0" collapsed="false">
      <c r="H51" s="11" t="str">
        <f aca="false">IF(A51="","",IF(AND(A51&gt;=README!$B$4,A51&lt;=README!$B$5),"Yes","No"))</f>
        <v/>
      </c>
    </row>
    <row r="52" customFormat="false" ht="15" hidden="false" customHeight="false" outlineLevel="0" collapsed="false">
      <c r="H52" s="11" t="str">
        <f aca="false">IF(A52="","",IF(AND(A52&gt;=README!$B$4,A52&lt;=README!$B$5),"Yes","No"))</f>
        <v/>
      </c>
    </row>
    <row r="53" customFormat="false" ht="15" hidden="false" customHeight="false" outlineLevel="0" collapsed="false">
      <c r="H53" s="11" t="str">
        <f aca="false">IF(A53="","",IF(AND(A53&gt;=README!$B$4,A53&lt;=README!$B$5),"Yes","No"))</f>
        <v/>
      </c>
    </row>
    <row r="54" customFormat="false" ht="15" hidden="false" customHeight="false" outlineLevel="0" collapsed="false">
      <c r="H54" s="11" t="str">
        <f aca="false">IF(A54="","",IF(AND(A54&gt;=README!$B$4,A54&lt;=README!$B$5),"Yes","No"))</f>
        <v/>
      </c>
    </row>
    <row r="55" customFormat="false" ht="15" hidden="false" customHeight="false" outlineLevel="0" collapsed="false">
      <c r="H55" s="11" t="str">
        <f aca="false">IF(A55="","",IF(AND(A55&gt;=README!$B$4,A55&lt;=README!$B$5),"Yes","No"))</f>
        <v/>
      </c>
    </row>
    <row r="56" customFormat="false" ht="15" hidden="false" customHeight="false" outlineLevel="0" collapsed="false">
      <c r="H56" s="11" t="str">
        <f aca="false">IF(A56="","",IF(AND(A56&gt;=README!$B$4,A56&lt;=README!$B$5),"Yes","No"))</f>
        <v/>
      </c>
    </row>
    <row r="57" customFormat="false" ht="15" hidden="false" customHeight="false" outlineLevel="0" collapsed="false">
      <c r="H57" s="11" t="str">
        <f aca="false">IF(A57="","",IF(AND(A57&gt;=README!$B$4,A57&lt;=README!$B$5),"Yes","No"))</f>
        <v/>
      </c>
    </row>
    <row r="58" customFormat="false" ht="15" hidden="false" customHeight="false" outlineLevel="0" collapsed="false">
      <c r="H58" s="11" t="str">
        <f aca="false">IF(A58="","",IF(AND(A58&gt;=README!$B$4,A58&lt;=README!$B$5),"Yes","No"))</f>
        <v/>
      </c>
    </row>
    <row r="59" customFormat="false" ht="15" hidden="false" customHeight="false" outlineLevel="0" collapsed="false">
      <c r="H59" s="11" t="str">
        <f aca="false">IF(A59="","",IF(AND(A59&gt;=README!$B$4,A59&lt;=README!$B$5),"Yes","No"))</f>
        <v/>
      </c>
    </row>
    <row r="60" customFormat="false" ht="15" hidden="false" customHeight="false" outlineLevel="0" collapsed="false">
      <c r="H60" s="11" t="str">
        <f aca="false">IF(A60="","",IF(AND(A60&gt;=README!$B$4,A60&lt;=README!$B$5),"Yes","No"))</f>
        <v/>
      </c>
    </row>
    <row r="61" customFormat="false" ht="15" hidden="false" customHeight="false" outlineLevel="0" collapsed="false">
      <c r="H61" s="11" t="str">
        <f aca="false">IF(A61="","",IF(AND(A61&gt;=README!$B$4,A61&lt;=README!$B$5),"Yes","No"))</f>
        <v/>
      </c>
    </row>
    <row r="62" customFormat="false" ht="15" hidden="false" customHeight="false" outlineLevel="0" collapsed="false">
      <c r="H62" s="11" t="str">
        <f aca="false">IF(A62="","",IF(AND(A62&gt;=README!$B$4,A62&lt;=README!$B$5),"Yes","No"))</f>
        <v/>
      </c>
    </row>
    <row r="63" customFormat="false" ht="15" hidden="false" customHeight="false" outlineLevel="0" collapsed="false">
      <c r="H63" s="11" t="str">
        <f aca="false">IF(A63="","",IF(AND(A63&gt;=README!$B$4,A63&lt;=README!$B$5),"Yes","No"))</f>
        <v/>
      </c>
    </row>
    <row r="64" customFormat="false" ht="15" hidden="false" customHeight="false" outlineLevel="0" collapsed="false">
      <c r="H64" s="11" t="str">
        <f aca="false">IF(A64="","",IF(AND(A64&gt;=README!$B$4,A64&lt;=README!$B$5),"Yes","No"))</f>
        <v/>
      </c>
    </row>
    <row r="65" customFormat="false" ht="15" hidden="false" customHeight="false" outlineLevel="0" collapsed="false">
      <c r="H65" s="11" t="str">
        <f aca="false">IF(A65="","",IF(AND(A65&gt;=README!$B$4,A65&lt;=README!$B$5),"Yes","No"))</f>
        <v/>
      </c>
    </row>
    <row r="66" customFormat="false" ht="15" hidden="false" customHeight="false" outlineLevel="0" collapsed="false">
      <c r="H66" s="11" t="str">
        <f aca="false">IF(A66="","",IF(AND(A66&gt;=README!$B$4,A66&lt;=README!$B$5),"Yes","No"))</f>
        <v/>
      </c>
    </row>
    <row r="67" customFormat="false" ht="15" hidden="false" customHeight="false" outlineLevel="0" collapsed="false">
      <c r="H67" s="11" t="str">
        <f aca="false">IF(A67="","",IF(AND(A67&gt;=README!$B$4,A67&lt;=README!$B$5),"Yes","No"))</f>
        <v/>
      </c>
    </row>
    <row r="68" customFormat="false" ht="15" hidden="false" customHeight="false" outlineLevel="0" collapsed="false">
      <c r="H68" s="11" t="str">
        <f aca="false">IF(A68="","",IF(AND(A68&gt;=README!$B$4,A68&lt;=README!$B$5),"Yes","No"))</f>
        <v/>
      </c>
    </row>
    <row r="69" customFormat="false" ht="15" hidden="false" customHeight="false" outlineLevel="0" collapsed="false">
      <c r="H69" s="11" t="str">
        <f aca="false">IF(A69="","",IF(AND(A69&gt;=README!$B$4,A69&lt;=README!$B$5),"Yes","No"))</f>
        <v/>
      </c>
    </row>
    <row r="70" customFormat="false" ht="15" hidden="false" customHeight="false" outlineLevel="0" collapsed="false">
      <c r="H70" s="11" t="str">
        <f aca="false">IF(A70="","",IF(AND(A70&gt;=README!$B$4,A70&lt;=README!$B$5),"Yes","No"))</f>
        <v/>
      </c>
    </row>
    <row r="71" customFormat="false" ht="15" hidden="false" customHeight="false" outlineLevel="0" collapsed="false">
      <c r="H71" s="11" t="str">
        <f aca="false">IF(A71="","",IF(AND(A71&gt;=README!$B$4,A71&lt;=README!$B$5),"Yes","No"))</f>
        <v/>
      </c>
    </row>
    <row r="72" customFormat="false" ht="15" hidden="false" customHeight="false" outlineLevel="0" collapsed="false">
      <c r="H72" s="11" t="str">
        <f aca="false">IF(A72="","",IF(AND(A72&gt;=README!$B$4,A72&lt;=README!$B$5),"Yes","No"))</f>
        <v/>
      </c>
    </row>
    <row r="73" customFormat="false" ht="15" hidden="false" customHeight="false" outlineLevel="0" collapsed="false">
      <c r="H73" s="11" t="str">
        <f aca="false">IF(A73="","",IF(AND(A73&gt;=README!$B$4,A73&lt;=README!$B$5),"Yes","No"))</f>
        <v/>
      </c>
    </row>
    <row r="74" customFormat="false" ht="15" hidden="false" customHeight="false" outlineLevel="0" collapsed="false">
      <c r="H74" s="11" t="str">
        <f aca="false">IF(A74="","",IF(AND(A74&gt;=README!$B$4,A74&lt;=README!$B$5),"Yes","No"))</f>
        <v/>
      </c>
    </row>
    <row r="75" customFormat="false" ht="15" hidden="false" customHeight="false" outlineLevel="0" collapsed="false">
      <c r="H75" s="11" t="str">
        <f aca="false">IF(A75="","",IF(AND(A75&gt;=README!$B$4,A75&lt;=README!$B$5),"Yes","No"))</f>
        <v/>
      </c>
    </row>
    <row r="76" customFormat="false" ht="15" hidden="false" customHeight="false" outlineLevel="0" collapsed="false">
      <c r="H76" s="11" t="str">
        <f aca="false">IF(A76="","",IF(AND(A76&gt;=README!$B$4,A76&lt;=README!$B$5),"Yes","No"))</f>
        <v/>
      </c>
    </row>
    <row r="77" customFormat="false" ht="15" hidden="false" customHeight="false" outlineLevel="0" collapsed="false">
      <c r="H77" s="11" t="str">
        <f aca="false">IF(A77="","",IF(AND(A77&gt;=README!$B$4,A77&lt;=README!$B$5),"Yes","No"))</f>
        <v/>
      </c>
    </row>
    <row r="78" customFormat="false" ht="15" hidden="false" customHeight="false" outlineLevel="0" collapsed="false">
      <c r="H78" s="11" t="str">
        <f aca="false">IF(A78="","",IF(AND(A78&gt;=README!$B$4,A78&lt;=README!$B$5),"Yes","No"))</f>
        <v/>
      </c>
    </row>
    <row r="79" customFormat="false" ht="15" hidden="false" customHeight="false" outlineLevel="0" collapsed="false">
      <c r="H79" s="11" t="str">
        <f aca="false">IF(A79="","",IF(AND(A79&gt;=README!$B$4,A79&lt;=README!$B$5),"Yes","No"))</f>
        <v/>
      </c>
    </row>
    <row r="80" customFormat="false" ht="15" hidden="false" customHeight="false" outlineLevel="0" collapsed="false">
      <c r="H80" s="11" t="str">
        <f aca="false">IF(A80="","",IF(AND(A80&gt;=README!$B$4,A80&lt;=README!$B$5),"Yes","No"))</f>
        <v/>
      </c>
    </row>
    <row r="81" customFormat="false" ht="15" hidden="false" customHeight="false" outlineLevel="0" collapsed="false">
      <c r="H81" s="11" t="str">
        <f aca="false">IF(A81="","",IF(AND(A81&gt;=README!$B$4,A81&lt;=README!$B$5),"Yes","No"))</f>
        <v/>
      </c>
    </row>
    <row r="82" customFormat="false" ht="15" hidden="false" customHeight="false" outlineLevel="0" collapsed="false">
      <c r="H82" s="11" t="str">
        <f aca="false">IF(A82="","",IF(AND(A82&gt;=README!$B$4,A82&lt;=README!$B$5),"Yes","No"))</f>
        <v/>
      </c>
    </row>
    <row r="83" customFormat="false" ht="15" hidden="false" customHeight="false" outlineLevel="0" collapsed="false">
      <c r="H83" s="11" t="str">
        <f aca="false">IF(A83="","",IF(AND(A83&gt;=README!$B$4,A83&lt;=README!$B$5),"Yes","No"))</f>
        <v/>
      </c>
    </row>
    <row r="84" customFormat="false" ht="15" hidden="false" customHeight="false" outlineLevel="0" collapsed="false">
      <c r="H84" s="11" t="str">
        <f aca="false">IF(A84="","",IF(AND(A84&gt;=README!$B$4,A84&lt;=README!$B$5),"Yes","No"))</f>
        <v/>
      </c>
    </row>
    <row r="85" customFormat="false" ht="15" hidden="false" customHeight="false" outlineLevel="0" collapsed="false">
      <c r="H85" s="11" t="str">
        <f aca="false">IF(A85="","",IF(AND(A85&gt;=README!$B$4,A85&lt;=README!$B$5),"Yes","No"))</f>
        <v/>
      </c>
    </row>
    <row r="86" customFormat="false" ht="15" hidden="false" customHeight="false" outlineLevel="0" collapsed="false">
      <c r="H86" s="11" t="str">
        <f aca="false">IF(A86="","",IF(AND(A86&gt;=README!$B$4,A86&lt;=README!$B$5),"Yes","No"))</f>
        <v/>
      </c>
    </row>
    <row r="87" customFormat="false" ht="15" hidden="false" customHeight="false" outlineLevel="0" collapsed="false">
      <c r="H87" s="11" t="str">
        <f aca="false">IF(A87="","",IF(AND(A87&gt;=README!$B$4,A87&lt;=README!$B$5),"Yes","No"))</f>
        <v/>
      </c>
    </row>
    <row r="88" customFormat="false" ht="15" hidden="false" customHeight="false" outlineLevel="0" collapsed="false">
      <c r="H88" s="11" t="str">
        <f aca="false">IF(A88="","",IF(AND(A88&gt;=README!$B$4,A88&lt;=README!$B$5),"Yes","No"))</f>
        <v/>
      </c>
    </row>
    <row r="89" customFormat="false" ht="15" hidden="false" customHeight="false" outlineLevel="0" collapsed="false">
      <c r="H89" s="11" t="str">
        <f aca="false">IF(A89="","",IF(AND(A89&gt;=README!$B$4,A89&lt;=README!$B$5),"Yes","No"))</f>
        <v/>
      </c>
    </row>
    <row r="90" customFormat="false" ht="15" hidden="false" customHeight="false" outlineLevel="0" collapsed="false">
      <c r="H90" s="11" t="str">
        <f aca="false">IF(A90="","",IF(AND(A90&gt;=README!$B$4,A90&lt;=README!$B$5),"Yes","No"))</f>
        <v/>
      </c>
    </row>
    <row r="91" customFormat="false" ht="15" hidden="false" customHeight="false" outlineLevel="0" collapsed="false">
      <c r="H91" s="11" t="str">
        <f aca="false">IF(A91="","",IF(AND(A91&gt;=README!$B$4,A91&lt;=README!$B$5),"Yes","No"))</f>
        <v/>
      </c>
    </row>
    <row r="92" customFormat="false" ht="15" hidden="false" customHeight="false" outlineLevel="0" collapsed="false">
      <c r="H92" s="11" t="str">
        <f aca="false">IF(A92="","",IF(AND(A92&gt;=README!$B$4,A92&lt;=README!$B$5),"Yes","No"))</f>
        <v/>
      </c>
    </row>
    <row r="93" customFormat="false" ht="15" hidden="false" customHeight="false" outlineLevel="0" collapsed="false">
      <c r="H93" s="11" t="str">
        <f aca="false">IF(A93="","",IF(AND(A93&gt;=README!$B$4,A93&lt;=README!$B$5),"Yes","No"))</f>
        <v/>
      </c>
    </row>
    <row r="94" customFormat="false" ht="15" hidden="false" customHeight="false" outlineLevel="0" collapsed="false">
      <c r="H94" s="11" t="str">
        <f aca="false">IF(A94="","",IF(AND(A94&gt;=README!$B$4,A94&lt;=README!$B$5),"Yes","No"))</f>
        <v/>
      </c>
    </row>
    <row r="95" customFormat="false" ht="15" hidden="false" customHeight="false" outlineLevel="0" collapsed="false">
      <c r="H95" s="11" t="str">
        <f aca="false">IF(A95="","",IF(AND(A95&gt;=README!$B$4,A95&lt;=README!$B$5),"Yes","No"))</f>
        <v/>
      </c>
    </row>
    <row r="96" customFormat="false" ht="15" hidden="false" customHeight="false" outlineLevel="0" collapsed="false">
      <c r="H96" s="11" t="str">
        <f aca="false">IF(A96="","",IF(AND(A96&gt;=README!$B$4,A96&lt;=README!$B$5),"Yes","No"))</f>
        <v/>
      </c>
    </row>
    <row r="97" customFormat="false" ht="15" hidden="false" customHeight="false" outlineLevel="0" collapsed="false">
      <c r="H97" s="11" t="str">
        <f aca="false">IF(A97="","",IF(AND(A97&gt;=README!$B$4,A97&lt;=README!$B$5),"Yes","No"))</f>
        <v/>
      </c>
    </row>
    <row r="98" customFormat="false" ht="15" hidden="false" customHeight="false" outlineLevel="0" collapsed="false">
      <c r="H98" s="11" t="str">
        <f aca="false">IF(A98="","",IF(AND(A98&gt;=README!$B$4,A98&lt;=README!$B$5),"Yes","No"))</f>
        <v/>
      </c>
    </row>
    <row r="99" customFormat="false" ht="15" hidden="false" customHeight="false" outlineLevel="0" collapsed="false">
      <c r="H99" s="11" t="str">
        <f aca="false">IF(A99="","",IF(AND(A99&gt;=README!$B$4,A99&lt;=README!$B$5),"Yes","No"))</f>
        <v/>
      </c>
    </row>
    <row r="100" customFormat="false" ht="15" hidden="false" customHeight="false" outlineLevel="0" collapsed="false">
      <c r="H100" s="11" t="str">
        <f aca="false">IF(A100="","",IF(AND(A100&gt;=README!$B$4,A100&lt;=README!$B$5),"Yes","No"))</f>
        <v/>
      </c>
    </row>
    <row r="101" customFormat="false" ht="15" hidden="false" customHeight="false" outlineLevel="0" collapsed="false">
      <c r="H101" s="11" t="str">
        <f aca="false">IF(A101="","",IF(AND(A101&gt;=README!$B$4,A101&lt;=README!$B$5),"Yes","No"))</f>
        <v/>
      </c>
    </row>
    <row r="102" customFormat="false" ht="15" hidden="false" customHeight="false" outlineLevel="0" collapsed="false">
      <c r="H102" s="11" t="str">
        <f aca="false">IF(A102="","",IF(AND(A102&gt;=README!$B$4,A102&lt;=README!$B$5),"Yes","No"))</f>
        <v/>
      </c>
    </row>
    <row r="103" customFormat="false" ht="15" hidden="false" customHeight="false" outlineLevel="0" collapsed="false">
      <c r="H103" s="11" t="str">
        <f aca="false">IF(A103="","",IF(AND(A103&gt;=README!$B$4,A103&lt;=README!$B$5),"Yes","No"))</f>
        <v/>
      </c>
    </row>
    <row r="104" customFormat="false" ht="15" hidden="false" customHeight="false" outlineLevel="0" collapsed="false">
      <c r="H104" s="11" t="str">
        <f aca="false">IF(A104="","",IF(AND(A104&gt;=README!$B$4,A104&lt;=README!$B$5),"Yes","No"))</f>
        <v/>
      </c>
    </row>
    <row r="105" customFormat="false" ht="15" hidden="false" customHeight="false" outlineLevel="0" collapsed="false">
      <c r="H105" s="11" t="str">
        <f aca="false">IF(A105="","",IF(AND(A105&gt;=README!$B$4,A105&lt;=README!$B$5),"Yes","No"))</f>
        <v/>
      </c>
    </row>
    <row r="106" customFormat="false" ht="15" hidden="false" customHeight="false" outlineLevel="0" collapsed="false">
      <c r="H106" s="11" t="str">
        <f aca="false">IF(A106="","",IF(AND(A106&gt;=README!$B$4,A106&lt;=README!$B$5),"Yes","No"))</f>
        <v/>
      </c>
    </row>
    <row r="107" customFormat="false" ht="15" hidden="false" customHeight="false" outlineLevel="0" collapsed="false">
      <c r="H107" s="11" t="str">
        <f aca="false">IF(A107="","",IF(AND(A107&gt;=README!$B$4,A107&lt;=README!$B$5),"Yes","No"))</f>
        <v/>
      </c>
    </row>
    <row r="108" customFormat="false" ht="15" hidden="false" customHeight="false" outlineLevel="0" collapsed="false">
      <c r="H108" s="11" t="str">
        <f aca="false">IF(A108="","",IF(AND(A108&gt;=README!$B$4,A108&lt;=README!$B$5),"Yes","No"))</f>
        <v/>
      </c>
    </row>
    <row r="109" customFormat="false" ht="15" hidden="false" customHeight="false" outlineLevel="0" collapsed="false">
      <c r="H109" s="11" t="str">
        <f aca="false">IF(A109="","",IF(AND(A109&gt;=README!$B$4,A109&lt;=README!$B$5),"Yes","No"))</f>
        <v/>
      </c>
    </row>
    <row r="110" customFormat="false" ht="15" hidden="false" customHeight="false" outlineLevel="0" collapsed="false">
      <c r="H110" s="11" t="str">
        <f aca="false">IF(A110="","",IF(AND(A110&gt;=README!$B$4,A110&lt;=README!$B$5),"Yes","No"))</f>
        <v/>
      </c>
    </row>
    <row r="111" customFormat="false" ht="15" hidden="false" customHeight="false" outlineLevel="0" collapsed="false">
      <c r="H111" s="11" t="str">
        <f aca="false">IF(A111="","",IF(AND(A111&gt;=README!$B$4,A111&lt;=README!$B$5),"Yes","No"))</f>
        <v/>
      </c>
    </row>
    <row r="112" customFormat="false" ht="15" hidden="false" customHeight="false" outlineLevel="0" collapsed="false">
      <c r="H112" s="11" t="str">
        <f aca="false">IF(A112="","",IF(AND(A112&gt;=README!$B$4,A112&lt;=README!$B$5),"Yes","No"))</f>
        <v/>
      </c>
    </row>
    <row r="113" customFormat="false" ht="15" hidden="false" customHeight="false" outlineLevel="0" collapsed="false">
      <c r="H113" s="11" t="str">
        <f aca="false">IF(A113="","",IF(AND(A113&gt;=README!$B$4,A113&lt;=README!$B$5),"Yes","No"))</f>
        <v/>
      </c>
    </row>
    <row r="114" customFormat="false" ht="15" hidden="false" customHeight="false" outlineLevel="0" collapsed="false">
      <c r="H114" s="11" t="str">
        <f aca="false">IF(A114="","",IF(AND(A114&gt;=README!$B$4,A114&lt;=README!$B$5),"Yes","No"))</f>
        <v/>
      </c>
    </row>
    <row r="115" customFormat="false" ht="15" hidden="false" customHeight="false" outlineLevel="0" collapsed="false">
      <c r="H115" s="11" t="str">
        <f aca="false">IF(A115="","",IF(AND(A115&gt;=README!$B$4,A115&lt;=README!$B$5),"Yes","No"))</f>
        <v/>
      </c>
    </row>
    <row r="116" customFormat="false" ht="15" hidden="false" customHeight="false" outlineLevel="0" collapsed="false">
      <c r="H116" s="11" t="str">
        <f aca="false">IF(A116="","",IF(AND(A116&gt;=README!$B$4,A116&lt;=README!$B$5),"Yes","No"))</f>
        <v/>
      </c>
    </row>
    <row r="117" customFormat="false" ht="15" hidden="false" customHeight="false" outlineLevel="0" collapsed="false">
      <c r="H117" s="11" t="str">
        <f aca="false">IF(A117="","",IF(AND(A117&gt;=README!$B$4,A117&lt;=README!$B$5),"Yes","No"))</f>
        <v/>
      </c>
    </row>
    <row r="118" customFormat="false" ht="15" hidden="false" customHeight="false" outlineLevel="0" collapsed="false">
      <c r="H118" s="11" t="str">
        <f aca="false">IF(A118="","",IF(AND(A118&gt;=README!$B$4,A118&lt;=README!$B$5),"Yes","No"))</f>
        <v/>
      </c>
    </row>
    <row r="119" customFormat="false" ht="15" hidden="false" customHeight="false" outlineLevel="0" collapsed="false">
      <c r="H119" s="11" t="str">
        <f aca="false">IF(A119="","",IF(AND(A119&gt;=README!$B$4,A119&lt;=README!$B$5),"Yes","No"))</f>
        <v/>
      </c>
    </row>
    <row r="120" customFormat="false" ht="15" hidden="false" customHeight="false" outlineLevel="0" collapsed="false">
      <c r="H120" s="11" t="str">
        <f aca="false">IF(A120="","",IF(AND(A120&gt;=README!$B$4,A120&lt;=README!$B$5),"Yes","No"))</f>
        <v/>
      </c>
    </row>
    <row r="121" customFormat="false" ht="15" hidden="false" customHeight="false" outlineLevel="0" collapsed="false">
      <c r="H121" s="11" t="str">
        <f aca="false">IF(A121="","",IF(AND(A121&gt;=README!$B$4,A121&lt;=README!$B$5),"Yes","No"))</f>
        <v/>
      </c>
    </row>
    <row r="122" customFormat="false" ht="15" hidden="false" customHeight="false" outlineLevel="0" collapsed="false">
      <c r="H122" s="11" t="str">
        <f aca="false">IF(A122="","",IF(AND(A122&gt;=README!$B$4,A122&lt;=README!$B$5),"Yes","No"))</f>
        <v/>
      </c>
    </row>
    <row r="123" customFormat="false" ht="15" hidden="false" customHeight="false" outlineLevel="0" collapsed="false">
      <c r="H123" s="11" t="str">
        <f aca="false">IF(A123="","",IF(AND(A123&gt;=README!$B$4,A123&lt;=README!$B$5),"Yes","No"))</f>
        <v/>
      </c>
    </row>
    <row r="124" customFormat="false" ht="15" hidden="false" customHeight="false" outlineLevel="0" collapsed="false">
      <c r="H124" s="11" t="str">
        <f aca="false">IF(A124="","",IF(AND(A124&gt;=README!$B$4,A124&lt;=README!$B$5),"Yes","No"))</f>
        <v/>
      </c>
    </row>
    <row r="125" customFormat="false" ht="15" hidden="false" customHeight="false" outlineLevel="0" collapsed="false">
      <c r="H125" s="11" t="str">
        <f aca="false">IF(A125="","",IF(AND(A125&gt;=README!$B$4,A125&lt;=README!$B$5),"Yes","No"))</f>
        <v/>
      </c>
    </row>
    <row r="126" customFormat="false" ht="15" hidden="false" customHeight="false" outlineLevel="0" collapsed="false">
      <c r="H126" s="11" t="str">
        <f aca="false">IF(A126="","",IF(AND(A126&gt;=README!$B$4,A126&lt;=README!$B$5),"Yes","No"))</f>
        <v/>
      </c>
    </row>
    <row r="127" customFormat="false" ht="15" hidden="false" customHeight="false" outlineLevel="0" collapsed="false">
      <c r="H127" s="11" t="str">
        <f aca="false">IF(A127="","",IF(AND(A127&gt;=README!$B$4,A127&lt;=README!$B$5),"Yes","No"))</f>
        <v/>
      </c>
    </row>
    <row r="128" customFormat="false" ht="15" hidden="false" customHeight="false" outlineLevel="0" collapsed="false">
      <c r="H128" s="11" t="str">
        <f aca="false">IF(A128="","",IF(AND(A128&gt;=README!$B$4,A128&lt;=README!$B$5),"Yes","No"))</f>
        <v/>
      </c>
    </row>
    <row r="129" customFormat="false" ht="15" hidden="false" customHeight="false" outlineLevel="0" collapsed="false">
      <c r="H129" s="11" t="str">
        <f aca="false">IF(A129="","",IF(AND(A129&gt;=README!$B$4,A129&lt;=README!$B$5),"Yes","No"))</f>
        <v/>
      </c>
    </row>
    <row r="130" customFormat="false" ht="15" hidden="false" customHeight="false" outlineLevel="0" collapsed="false">
      <c r="H130" s="11" t="str">
        <f aca="false">IF(A130="","",IF(AND(A130&gt;=README!$B$4,A130&lt;=README!$B$5),"Yes","No"))</f>
        <v/>
      </c>
    </row>
    <row r="131" customFormat="false" ht="15" hidden="false" customHeight="false" outlineLevel="0" collapsed="false">
      <c r="H131" s="11" t="str">
        <f aca="false">IF(A131="","",IF(AND(A131&gt;=README!$B$4,A131&lt;=README!$B$5),"Yes","No"))</f>
        <v/>
      </c>
    </row>
    <row r="132" customFormat="false" ht="15" hidden="false" customHeight="false" outlineLevel="0" collapsed="false">
      <c r="H132" s="11" t="str">
        <f aca="false">IF(A132="","",IF(AND(A132&gt;=README!$B$4,A132&lt;=README!$B$5),"Yes","No"))</f>
        <v/>
      </c>
    </row>
    <row r="133" customFormat="false" ht="15" hidden="false" customHeight="false" outlineLevel="0" collapsed="false">
      <c r="H133" s="11" t="str">
        <f aca="false">IF(A133="","",IF(AND(A133&gt;=README!$B$4,A133&lt;=README!$B$5),"Yes","No"))</f>
        <v/>
      </c>
    </row>
    <row r="134" customFormat="false" ht="15" hidden="false" customHeight="false" outlineLevel="0" collapsed="false">
      <c r="H134" s="11" t="str">
        <f aca="false">IF(A134="","",IF(AND(A134&gt;=README!$B$4,A134&lt;=README!$B$5),"Yes","No"))</f>
        <v/>
      </c>
    </row>
    <row r="135" customFormat="false" ht="15" hidden="false" customHeight="false" outlineLevel="0" collapsed="false">
      <c r="H135" s="11" t="str">
        <f aca="false">IF(A135="","",IF(AND(A135&gt;=README!$B$4,A135&lt;=README!$B$5),"Yes","No"))</f>
        <v/>
      </c>
    </row>
    <row r="136" customFormat="false" ht="15" hidden="false" customHeight="false" outlineLevel="0" collapsed="false">
      <c r="H136" s="11" t="str">
        <f aca="false">IF(A136="","",IF(AND(A136&gt;=README!$B$4,A136&lt;=README!$B$5),"Yes","No"))</f>
        <v/>
      </c>
    </row>
    <row r="137" customFormat="false" ht="15" hidden="false" customHeight="false" outlineLevel="0" collapsed="false">
      <c r="H137" s="11" t="str">
        <f aca="false">IF(A137="","",IF(AND(A137&gt;=README!$B$4,A137&lt;=README!$B$5),"Yes","No"))</f>
        <v/>
      </c>
    </row>
    <row r="138" customFormat="false" ht="15" hidden="false" customHeight="false" outlineLevel="0" collapsed="false">
      <c r="H138" s="11" t="str">
        <f aca="false">IF(A138="","",IF(AND(A138&gt;=README!$B$4,A138&lt;=README!$B$5),"Yes","No"))</f>
        <v/>
      </c>
    </row>
    <row r="139" customFormat="false" ht="15" hidden="false" customHeight="false" outlineLevel="0" collapsed="false">
      <c r="H139" s="11" t="str">
        <f aca="false">IF(A139="","",IF(AND(A139&gt;=README!$B$4,A139&lt;=README!$B$5),"Yes","No"))</f>
        <v/>
      </c>
    </row>
    <row r="140" customFormat="false" ht="15" hidden="false" customHeight="false" outlineLevel="0" collapsed="false">
      <c r="H140" s="11" t="str">
        <f aca="false">IF(A140="","",IF(AND(A140&gt;=README!$B$4,A140&lt;=README!$B$5),"Yes","No"))</f>
        <v/>
      </c>
    </row>
    <row r="141" customFormat="false" ht="15" hidden="false" customHeight="false" outlineLevel="0" collapsed="false">
      <c r="H141" s="11" t="str">
        <f aca="false">IF(A141="","",IF(AND(A141&gt;=README!$B$4,A141&lt;=README!$B$5),"Yes","No"))</f>
        <v/>
      </c>
    </row>
    <row r="142" customFormat="false" ht="15" hidden="false" customHeight="false" outlineLevel="0" collapsed="false">
      <c r="H142" s="11" t="str">
        <f aca="false">IF(A142="","",IF(AND(A142&gt;=README!$B$4,A142&lt;=README!$B$5),"Yes","No"))</f>
        <v/>
      </c>
    </row>
    <row r="143" customFormat="false" ht="15" hidden="false" customHeight="false" outlineLevel="0" collapsed="false">
      <c r="H143" s="11" t="str">
        <f aca="false">IF(A143="","",IF(AND(A143&gt;=README!$B$4,A143&lt;=README!$B$5),"Yes","No"))</f>
        <v/>
      </c>
    </row>
    <row r="144" customFormat="false" ht="15" hidden="false" customHeight="false" outlineLevel="0" collapsed="false">
      <c r="H144" s="11" t="str">
        <f aca="false">IF(A144="","",IF(AND(A144&gt;=README!$B$4,A144&lt;=README!$B$5),"Yes","No"))</f>
        <v/>
      </c>
    </row>
    <row r="145" customFormat="false" ht="15" hidden="false" customHeight="false" outlineLevel="0" collapsed="false">
      <c r="H145" s="11" t="str">
        <f aca="false">IF(A145="","",IF(AND(A145&gt;=README!$B$4,A145&lt;=README!$B$5),"Yes","No"))</f>
        <v/>
      </c>
    </row>
    <row r="146" customFormat="false" ht="15" hidden="false" customHeight="false" outlineLevel="0" collapsed="false">
      <c r="H146" s="11" t="str">
        <f aca="false">IF(A146="","",IF(AND(A146&gt;=README!$B$4,A146&lt;=README!$B$5),"Yes","No"))</f>
        <v/>
      </c>
    </row>
    <row r="147" customFormat="false" ht="15" hidden="false" customHeight="false" outlineLevel="0" collapsed="false">
      <c r="H147" s="11" t="str">
        <f aca="false">IF(A147="","",IF(AND(A147&gt;=README!$B$4,A147&lt;=README!$B$5),"Yes","No"))</f>
        <v/>
      </c>
    </row>
    <row r="148" customFormat="false" ht="15" hidden="false" customHeight="false" outlineLevel="0" collapsed="false">
      <c r="H148" s="11" t="str">
        <f aca="false">IF(A148="","",IF(AND(A148&gt;=README!$B$4,A148&lt;=README!$B$5),"Yes","No"))</f>
        <v/>
      </c>
    </row>
    <row r="149" customFormat="false" ht="15" hidden="false" customHeight="false" outlineLevel="0" collapsed="false">
      <c r="H149" s="11" t="str">
        <f aca="false">IF(A149="","",IF(AND(A149&gt;=README!$B$4,A149&lt;=README!$B$5),"Yes","No"))</f>
        <v/>
      </c>
    </row>
    <row r="150" customFormat="false" ht="15" hidden="false" customHeight="false" outlineLevel="0" collapsed="false">
      <c r="H150" s="11" t="str">
        <f aca="false">IF(A150="","",IF(AND(A150&gt;=README!$B$4,A150&lt;=README!$B$5),"Yes","No"))</f>
        <v/>
      </c>
    </row>
    <row r="151" customFormat="false" ht="15" hidden="false" customHeight="false" outlineLevel="0" collapsed="false">
      <c r="H151" s="11" t="str">
        <f aca="false">IF(A151="","",IF(AND(A151&gt;=README!$B$4,A151&lt;=README!$B$5),"Yes","No"))</f>
        <v/>
      </c>
    </row>
    <row r="152" customFormat="false" ht="15" hidden="false" customHeight="false" outlineLevel="0" collapsed="false">
      <c r="H152" s="11" t="str">
        <f aca="false">IF(A152="","",IF(AND(A152&gt;=README!$B$4,A152&lt;=README!$B$5),"Yes","No"))</f>
        <v/>
      </c>
    </row>
    <row r="153" customFormat="false" ht="15" hidden="false" customHeight="false" outlineLevel="0" collapsed="false">
      <c r="H153" s="11" t="str">
        <f aca="false">IF(A153="","",IF(AND(A153&gt;=README!$B$4,A153&lt;=README!$B$5),"Yes","No"))</f>
        <v/>
      </c>
    </row>
    <row r="154" customFormat="false" ht="15" hidden="false" customHeight="false" outlineLevel="0" collapsed="false">
      <c r="H154" s="11" t="str">
        <f aca="false">IF(A154="","",IF(AND(A154&gt;=README!$B$4,A154&lt;=README!$B$5),"Yes","No"))</f>
        <v/>
      </c>
    </row>
    <row r="155" customFormat="false" ht="15" hidden="false" customHeight="false" outlineLevel="0" collapsed="false">
      <c r="H155" s="11" t="str">
        <f aca="false">IF(A155="","",IF(AND(A155&gt;=README!$B$4,A155&lt;=README!$B$5),"Yes","No"))</f>
        <v/>
      </c>
    </row>
    <row r="156" customFormat="false" ht="15" hidden="false" customHeight="false" outlineLevel="0" collapsed="false">
      <c r="H156" s="11" t="str">
        <f aca="false">IF(A156="","",IF(AND(A156&gt;=README!$B$4,A156&lt;=README!$B$5),"Yes","No"))</f>
        <v/>
      </c>
    </row>
    <row r="157" customFormat="false" ht="15" hidden="false" customHeight="false" outlineLevel="0" collapsed="false">
      <c r="H157" s="11" t="str">
        <f aca="false">IF(A157="","",IF(AND(A157&gt;=README!$B$4,A157&lt;=README!$B$5),"Yes","No"))</f>
        <v/>
      </c>
    </row>
    <row r="158" customFormat="false" ht="15" hidden="false" customHeight="false" outlineLevel="0" collapsed="false">
      <c r="H158" s="11" t="str">
        <f aca="false">IF(A158="","",IF(AND(A158&gt;=README!$B$4,A158&lt;=README!$B$5),"Yes","No"))</f>
        <v/>
      </c>
    </row>
    <row r="159" customFormat="false" ht="15" hidden="false" customHeight="false" outlineLevel="0" collapsed="false">
      <c r="H159" s="11" t="str">
        <f aca="false">IF(A159="","",IF(AND(A159&gt;=README!$B$4,A159&lt;=README!$B$5),"Yes","No"))</f>
        <v/>
      </c>
    </row>
    <row r="160" customFormat="false" ht="15" hidden="false" customHeight="false" outlineLevel="0" collapsed="false">
      <c r="H160" s="11" t="str">
        <f aca="false">IF(A160="","",IF(AND(A160&gt;=README!$B$4,A160&lt;=README!$B$5),"Yes","No"))</f>
        <v/>
      </c>
    </row>
    <row r="161" customFormat="false" ht="15" hidden="false" customHeight="false" outlineLevel="0" collapsed="false">
      <c r="H161" s="11" t="str">
        <f aca="false">IF(A161="","",IF(AND(A161&gt;=README!$B$4,A161&lt;=README!$B$5),"Yes","No"))</f>
        <v/>
      </c>
    </row>
    <row r="162" customFormat="false" ht="15" hidden="false" customHeight="false" outlineLevel="0" collapsed="false">
      <c r="H162" s="11" t="str">
        <f aca="false">IF(A162="","",IF(AND(A162&gt;=README!$B$4,A162&lt;=README!$B$5),"Yes","No"))</f>
        <v/>
      </c>
    </row>
    <row r="163" customFormat="false" ht="15" hidden="false" customHeight="false" outlineLevel="0" collapsed="false">
      <c r="H163" s="11" t="str">
        <f aca="false">IF(A163="","",IF(AND(A163&gt;=README!$B$4,A163&lt;=README!$B$5),"Yes","No"))</f>
        <v/>
      </c>
    </row>
    <row r="164" customFormat="false" ht="15" hidden="false" customHeight="false" outlineLevel="0" collapsed="false">
      <c r="H164" s="11" t="str">
        <f aca="false">IF(A164="","",IF(AND(A164&gt;=README!$B$4,A164&lt;=README!$B$5),"Yes","No"))</f>
        <v/>
      </c>
    </row>
    <row r="165" customFormat="false" ht="15" hidden="false" customHeight="false" outlineLevel="0" collapsed="false">
      <c r="H165" s="11" t="str">
        <f aca="false">IF(A165="","",IF(AND(A165&gt;=README!$B$4,A165&lt;=README!$B$5),"Yes","No"))</f>
        <v/>
      </c>
    </row>
    <row r="166" customFormat="false" ht="15" hidden="false" customHeight="false" outlineLevel="0" collapsed="false">
      <c r="H166" s="11" t="str">
        <f aca="false">IF(A166="","",IF(AND(A166&gt;=README!$B$4,A166&lt;=README!$B$5),"Yes","No"))</f>
        <v/>
      </c>
    </row>
    <row r="167" customFormat="false" ht="15" hidden="false" customHeight="false" outlineLevel="0" collapsed="false">
      <c r="H167" s="11" t="str">
        <f aca="false">IF(A167="","",IF(AND(A167&gt;=README!$B$4,A167&lt;=README!$B$5),"Yes","No"))</f>
        <v/>
      </c>
    </row>
    <row r="168" customFormat="false" ht="15" hidden="false" customHeight="false" outlineLevel="0" collapsed="false">
      <c r="H168" s="11" t="str">
        <f aca="false">IF(A168="","",IF(AND(A168&gt;=README!$B$4,A168&lt;=README!$B$5),"Yes","No"))</f>
        <v/>
      </c>
    </row>
    <row r="169" customFormat="false" ht="15" hidden="false" customHeight="false" outlineLevel="0" collapsed="false">
      <c r="H169" s="11" t="str">
        <f aca="false">IF(A169="","",IF(AND(A169&gt;=README!$B$4,A169&lt;=README!$B$5),"Yes","No"))</f>
        <v/>
      </c>
    </row>
    <row r="170" customFormat="false" ht="15" hidden="false" customHeight="false" outlineLevel="0" collapsed="false">
      <c r="H170" s="11" t="str">
        <f aca="false">IF(A170="","",IF(AND(A170&gt;=README!$B$4,A170&lt;=README!$B$5),"Yes","No"))</f>
        <v/>
      </c>
    </row>
    <row r="171" customFormat="false" ht="15" hidden="false" customHeight="false" outlineLevel="0" collapsed="false">
      <c r="H171" s="11" t="str">
        <f aca="false">IF(A171="","",IF(AND(A171&gt;=README!$B$4,A171&lt;=README!$B$5),"Yes","No"))</f>
        <v/>
      </c>
    </row>
    <row r="172" customFormat="false" ht="15" hidden="false" customHeight="false" outlineLevel="0" collapsed="false">
      <c r="H172" s="11" t="str">
        <f aca="false">IF(A172="","",IF(AND(A172&gt;=README!$B$4,A172&lt;=README!$B$5),"Yes","No"))</f>
        <v/>
      </c>
    </row>
    <row r="173" customFormat="false" ht="15" hidden="false" customHeight="false" outlineLevel="0" collapsed="false">
      <c r="H173" s="11" t="str">
        <f aca="false">IF(A173="","",IF(AND(A173&gt;=README!$B$4,A173&lt;=README!$B$5),"Yes","No"))</f>
        <v/>
      </c>
    </row>
    <row r="174" customFormat="false" ht="15" hidden="false" customHeight="false" outlineLevel="0" collapsed="false">
      <c r="H174" s="11" t="str">
        <f aca="false">IF(A174="","",IF(AND(A174&gt;=README!$B$4,A174&lt;=README!$B$5),"Yes","No"))</f>
        <v/>
      </c>
    </row>
    <row r="175" customFormat="false" ht="15" hidden="false" customHeight="false" outlineLevel="0" collapsed="false">
      <c r="H175" s="11" t="str">
        <f aca="false">IF(A175="","",IF(AND(A175&gt;=README!$B$4,A175&lt;=README!$B$5),"Yes","No"))</f>
        <v/>
      </c>
    </row>
    <row r="176" customFormat="false" ht="15" hidden="false" customHeight="false" outlineLevel="0" collapsed="false">
      <c r="H176" s="11" t="str">
        <f aca="false">IF(A176="","",IF(AND(A176&gt;=README!$B$4,A176&lt;=README!$B$5),"Yes","No"))</f>
        <v/>
      </c>
    </row>
    <row r="177" customFormat="false" ht="15" hidden="false" customHeight="false" outlineLevel="0" collapsed="false">
      <c r="H177" s="11" t="str">
        <f aca="false">IF(A177="","",IF(AND(A177&gt;=README!$B$4,A177&lt;=README!$B$5),"Yes","No"))</f>
        <v/>
      </c>
    </row>
    <row r="178" customFormat="false" ht="15" hidden="false" customHeight="false" outlineLevel="0" collapsed="false">
      <c r="H178" s="11" t="str">
        <f aca="false">IF(A178="","",IF(AND(A178&gt;=README!$B$4,A178&lt;=README!$B$5),"Yes","No"))</f>
        <v/>
      </c>
    </row>
    <row r="179" customFormat="false" ht="15" hidden="false" customHeight="false" outlineLevel="0" collapsed="false">
      <c r="H179" s="11" t="str">
        <f aca="false">IF(A179="","",IF(AND(A179&gt;=README!$B$4,A179&lt;=README!$B$5),"Yes","No"))</f>
        <v/>
      </c>
    </row>
    <row r="180" customFormat="false" ht="15" hidden="false" customHeight="false" outlineLevel="0" collapsed="false">
      <c r="H180" s="11" t="str">
        <f aca="false">IF(A180="","",IF(AND(A180&gt;=README!$B$4,A180&lt;=README!$B$5),"Yes","No"))</f>
        <v/>
      </c>
    </row>
    <row r="181" customFormat="false" ht="15" hidden="false" customHeight="false" outlineLevel="0" collapsed="false">
      <c r="H181" s="11" t="str">
        <f aca="false">IF(A181="","",IF(AND(A181&gt;=README!$B$4,A181&lt;=README!$B$5),"Yes","No"))</f>
        <v/>
      </c>
    </row>
    <row r="182" customFormat="false" ht="15" hidden="false" customHeight="false" outlineLevel="0" collapsed="false">
      <c r="H182" s="11" t="str">
        <f aca="false">IF(A182="","",IF(AND(A182&gt;=README!$B$4,A182&lt;=README!$B$5),"Yes","No"))</f>
        <v/>
      </c>
    </row>
    <row r="183" customFormat="false" ht="15" hidden="false" customHeight="false" outlineLevel="0" collapsed="false">
      <c r="H183" s="11" t="str">
        <f aca="false">IF(A183="","",IF(AND(A183&gt;=README!$B$4,A183&lt;=README!$B$5),"Yes","No"))</f>
        <v/>
      </c>
    </row>
    <row r="184" customFormat="false" ht="15" hidden="false" customHeight="false" outlineLevel="0" collapsed="false">
      <c r="H184" s="11" t="str">
        <f aca="false">IF(A184="","",IF(AND(A184&gt;=README!$B$4,A184&lt;=README!$B$5),"Yes","No"))</f>
        <v/>
      </c>
    </row>
    <row r="185" customFormat="false" ht="15" hidden="false" customHeight="false" outlineLevel="0" collapsed="false">
      <c r="H185" s="11" t="str">
        <f aca="false">IF(A185="","",IF(AND(A185&gt;=README!$B$4,A185&lt;=README!$B$5),"Yes","No"))</f>
        <v/>
      </c>
    </row>
    <row r="186" customFormat="false" ht="15" hidden="false" customHeight="false" outlineLevel="0" collapsed="false">
      <c r="H186" s="11" t="str">
        <f aca="false">IF(A186="","",IF(AND(A186&gt;=README!$B$4,A186&lt;=README!$B$5),"Yes","No"))</f>
        <v/>
      </c>
    </row>
    <row r="187" customFormat="false" ht="15" hidden="false" customHeight="false" outlineLevel="0" collapsed="false">
      <c r="H187" s="11" t="str">
        <f aca="false">IF(A187="","",IF(AND(A187&gt;=README!$B$4,A187&lt;=README!$B$5),"Yes","No"))</f>
        <v/>
      </c>
    </row>
    <row r="188" customFormat="false" ht="15" hidden="false" customHeight="false" outlineLevel="0" collapsed="false">
      <c r="H188" s="11" t="str">
        <f aca="false">IF(A188="","",IF(AND(A188&gt;=README!$B$4,A188&lt;=README!$B$5),"Yes","No"))</f>
        <v/>
      </c>
    </row>
    <row r="189" customFormat="false" ht="15" hidden="false" customHeight="false" outlineLevel="0" collapsed="false">
      <c r="H189" s="11" t="str">
        <f aca="false">IF(A189="","",IF(AND(A189&gt;=README!$B$4,A189&lt;=README!$B$5),"Yes","No"))</f>
        <v/>
      </c>
    </row>
    <row r="190" customFormat="false" ht="15" hidden="false" customHeight="false" outlineLevel="0" collapsed="false">
      <c r="H190" s="11" t="str">
        <f aca="false">IF(A190="","",IF(AND(A190&gt;=README!$B$4,A190&lt;=README!$B$5),"Yes","No"))</f>
        <v/>
      </c>
    </row>
    <row r="191" customFormat="false" ht="15" hidden="false" customHeight="false" outlineLevel="0" collapsed="false">
      <c r="H191" s="11" t="str">
        <f aca="false">IF(A191="","",IF(AND(A191&gt;=README!$B$4,A191&lt;=README!$B$5),"Yes","No"))</f>
        <v/>
      </c>
    </row>
    <row r="192" customFormat="false" ht="15" hidden="false" customHeight="false" outlineLevel="0" collapsed="false">
      <c r="H192" s="11" t="str">
        <f aca="false">IF(A192="","",IF(AND(A192&gt;=README!$B$4,A192&lt;=README!$B$5),"Yes","No"))</f>
        <v/>
      </c>
    </row>
    <row r="193" customFormat="false" ht="15" hidden="false" customHeight="false" outlineLevel="0" collapsed="false">
      <c r="H193" s="11" t="str">
        <f aca="false">IF(A193="","",IF(AND(A193&gt;=README!$B$4,A193&lt;=README!$B$5),"Yes","No"))</f>
        <v/>
      </c>
    </row>
    <row r="194" customFormat="false" ht="15" hidden="false" customHeight="false" outlineLevel="0" collapsed="false">
      <c r="H194" s="11" t="str">
        <f aca="false">IF(A194="","",IF(AND(A194&gt;=README!$B$4,A194&lt;=README!$B$5),"Yes","No"))</f>
        <v/>
      </c>
    </row>
    <row r="195" customFormat="false" ht="15" hidden="false" customHeight="false" outlineLevel="0" collapsed="false">
      <c r="H195" s="11" t="str">
        <f aca="false">IF(A195="","",IF(AND(A195&gt;=README!$B$4,A195&lt;=README!$B$5),"Yes","No"))</f>
        <v/>
      </c>
    </row>
    <row r="196" customFormat="false" ht="15" hidden="false" customHeight="false" outlineLevel="0" collapsed="false">
      <c r="H196" s="11" t="str">
        <f aca="false">IF(A196="","",IF(AND(A196&gt;=README!$B$4,A196&lt;=README!$B$5),"Yes","No"))</f>
        <v/>
      </c>
    </row>
    <row r="197" customFormat="false" ht="15" hidden="false" customHeight="false" outlineLevel="0" collapsed="false">
      <c r="H197" s="11" t="str">
        <f aca="false">IF(A197="","",IF(AND(A197&gt;=README!$B$4,A197&lt;=README!$B$5),"Yes","No"))</f>
        <v/>
      </c>
    </row>
    <row r="198" customFormat="false" ht="15" hidden="false" customHeight="false" outlineLevel="0" collapsed="false">
      <c r="H198" s="11" t="str">
        <f aca="false">IF(A198="","",IF(AND(A198&gt;=README!$B$4,A198&lt;=README!$B$5),"Yes","No"))</f>
        <v/>
      </c>
    </row>
    <row r="199" customFormat="false" ht="15" hidden="false" customHeight="false" outlineLevel="0" collapsed="false">
      <c r="H199" s="11" t="str">
        <f aca="false">IF(A199="","",IF(AND(A199&gt;=README!$B$4,A199&lt;=README!$B$5),"Yes","No"))</f>
        <v/>
      </c>
    </row>
    <row r="200" customFormat="false" ht="15" hidden="false" customHeight="false" outlineLevel="0" collapsed="false">
      <c r="H200" s="11" t="str">
        <f aca="false">IF(A200="","",IF(AND(A200&gt;=README!$B$4,A200&lt;=README!$B$5),"Yes","No"))</f>
        <v/>
      </c>
    </row>
    <row r="201" customFormat="false" ht="15" hidden="false" customHeight="false" outlineLevel="0" collapsed="false">
      <c r="H201" s="11" t="str">
        <f aca="false">IF(A201="","",IF(AND(A201&gt;=README!$B$4,A201&lt;=README!$B$5),"Yes","No"))</f>
        <v/>
      </c>
    </row>
  </sheetData>
  <dataValidations count="2">
    <dataValidation allowBlank="true" errorStyle="stop" operator="between" showDropDown="false" showErrorMessage="false" showInputMessage="false" sqref="B2:B201" type="list">
      <formula1>"Decode: Veritas,Fliq,Other"</formula1>
      <formula2>0</formula2>
    </dataValidation>
    <dataValidation allowBlank="true" errorStyle="stop" operator="between" showDropDown="false" showErrorMessage="false" showInputMessage="false" sqref="C2:C201" type="list">
      <formula1>"Income,Expense,Excluded"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5" t="s">
        <v>68</v>
      </c>
      <c r="B1" s="5" t="s">
        <v>69</v>
      </c>
      <c r="C1" s="5" t="s">
        <v>70</v>
      </c>
      <c r="D1" s="5" t="s">
        <v>71</v>
      </c>
      <c r="E1" s="5" t="s">
        <v>24</v>
      </c>
      <c r="F1" s="5" t="s">
        <v>72</v>
      </c>
    </row>
    <row r="2" customFormat="false" ht="15" hidden="false" customHeight="false" outlineLevel="0" collapsed="false">
      <c r="A2" s="6" t="s">
        <v>36</v>
      </c>
      <c r="B2" s="6" t="s">
        <v>73</v>
      </c>
      <c r="C2" s="6" t="s">
        <v>74</v>
      </c>
      <c r="D2" s="6" t="s">
        <v>75</v>
      </c>
      <c r="E2" s="6" t="s">
        <v>76</v>
      </c>
      <c r="F2" s="6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32"/>
    <col collapsed="false" customWidth="true" hidden="false" outlineLevel="0" max="6" min="6" style="0" width="11"/>
  </cols>
  <sheetData>
    <row r="1" customFormat="false" ht="15" hidden="false" customHeight="false" outlineLevel="0" collapsed="false">
      <c r="A1" s="5" t="s">
        <v>40</v>
      </c>
      <c r="B1" s="5" t="s">
        <v>20</v>
      </c>
      <c r="C1" s="5" t="s">
        <v>78</v>
      </c>
      <c r="D1" s="5" t="s">
        <v>79</v>
      </c>
      <c r="E1" s="5" t="s">
        <v>80</v>
      </c>
      <c r="F1" s="5" t="s">
        <v>30</v>
      </c>
    </row>
    <row r="2" customFormat="false" ht="15" hidden="false" customHeight="false" outlineLevel="0" collapsed="false">
      <c r="A2" s="7" t="n">
        <v>46341</v>
      </c>
      <c r="B2" s="6" t="s">
        <v>53</v>
      </c>
      <c r="C2" s="6" t="s">
        <v>81</v>
      </c>
      <c r="D2" s="6" t="n">
        <v>480</v>
      </c>
      <c r="E2" s="6" t="s">
        <v>82</v>
      </c>
      <c r="F2" s="9" t="str">
        <f aca="false">IF(A2="","",IF(AND(A2&gt;=README!$B$4,A2&lt;=README!$B$5),"Yes","No"))</f>
        <v>Yes</v>
      </c>
    </row>
    <row r="3" customFormat="false" ht="15" hidden="false" customHeight="false" outlineLevel="0" collapsed="false">
      <c r="F3" s="11" t="str">
        <f aca="false">IF(A3="","",IF(AND(A3&gt;=README!$B$4,A3&lt;=README!$B$5),"Yes","No"))</f>
        <v/>
      </c>
    </row>
    <row r="4" customFormat="false" ht="15" hidden="false" customHeight="false" outlineLevel="0" collapsed="false">
      <c r="F4" s="11" t="str">
        <f aca="false">IF(A4="","",IF(AND(A4&gt;=README!$B$4,A4&lt;=README!$B$5),"Yes","No"))</f>
        <v/>
      </c>
    </row>
    <row r="5" customFormat="false" ht="15" hidden="false" customHeight="false" outlineLevel="0" collapsed="false">
      <c r="F5" s="11" t="str">
        <f aca="false">IF(A5="","",IF(AND(A5&gt;=README!$B$4,A5&lt;=README!$B$5),"Yes","No"))</f>
        <v/>
      </c>
    </row>
    <row r="6" customFormat="false" ht="15" hidden="false" customHeight="false" outlineLevel="0" collapsed="false">
      <c r="F6" s="11" t="str">
        <f aca="false">IF(A6="","",IF(AND(A6&gt;=README!$B$4,A6&lt;=README!$B$5),"Yes","No"))</f>
        <v/>
      </c>
    </row>
    <row r="7" customFormat="false" ht="15" hidden="false" customHeight="false" outlineLevel="0" collapsed="false">
      <c r="F7" s="11" t="str">
        <f aca="false">IF(A7="","",IF(AND(A7&gt;=README!$B$4,A7&lt;=README!$B$5),"Yes","No"))</f>
        <v/>
      </c>
    </row>
    <row r="8" customFormat="false" ht="15" hidden="false" customHeight="false" outlineLevel="0" collapsed="false">
      <c r="F8" s="11" t="str">
        <f aca="false">IF(A8="","",IF(AND(A8&gt;=README!$B$4,A8&lt;=README!$B$5),"Yes","No"))</f>
        <v/>
      </c>
    </row>
    <row r="9" customFormat="false" ht="15" hidden="false" customHeight="false" outlineLevel="0" collapsed="false">
      <c r="F9" s="11" t="str">
        <f aca="false">IF(A9="","",IF(AND(A9&gt;=README!$B$4,A9&lt;=README!$B$5),"Yes","No"))</f>
        <v/>
      </c>
    </row>
    <row r="10" customFormat="false" ht="15" hidden="false" customHeight="false" outlineLevel="0" collapsed="false">
      <c r="F10" s="11" t="str">
        <f aca="false">IF(A10="","",IF(AND(A10&gt;=README!$B$4,A10&lt;=README!$B$5),"Yes","No"))</f>
        <v/>
      </c>
    </row>
    <row r="11" customFormat="false" ht="15" hidden="false" customHeight="false" outlineLevel="0" collapsed="false">
      <c r="F11" s="11" t="str">
        <f aca="false">IF(A11="","",IF(AND(A11&gt;=README!$B$4,A11&lt;=README!$B$5),"Yes","No"))</f>
        <v/>
      </c>
    </row>
    <row r="12" customFormat="false" ht="15" hidden="false" customHeight="false" outlineLevel="0" collapsed="false">
      <c r="F12" s="11" t="str">
        <f aca="false">IF(A12="","",IF(AND(A12&gt;=README!$B$4,A12&lt;=README!$B$5),"Yes","No"))</f>
        <v/>
      </c>
    </row>
    <row r="13" customFormat="false" ht="15" hidden="false" customHeight="false" outlineLevel="0" collapsed="false">
      <c r="F13" s="11" t="str">
        <f aca="false">IF(A13="","",IF(AND(A13&gt;=README!$B$4,A13&lt;=README!$B$5),"Yes","No"))</f>
        <v/>
      </c>
    </row>
    <row r="14" customFormat="false" ht="15" hidden="false" customHeight="false" outlineLevel="0" collapsed="false">
      <c r="F14" s="11" t="str">
        <f aca="false">IF(A14="","",IF(AND(A14&gt;=README!$B$4,A14&lt;=README!$B$5),"Yes","No"))</f>
        <v/>
      </c>
    </row>
    <row r="15" customFormat="false" ht="15" hidden="false" customHeight="false" outlineLevel="0" collapsed="false">
      <c r="F15" s="11" t="str">
        <f aca="false">IF(A15="","",IF(AND(A15&gt;=README!$B$4,A15&lt;=README!$B$5),"Yes","No"))</f>
        <v/>
      </c>
    </row>
    <row r="16" customFormat="false" ht="15" hidden="false" customHeight="false" outlineLevel="0" collapsed="false">
      <c r="F16" s="11" t="str">
        <f aca="false">IF(A16="","",IF(AND(A16&gt;=README!$B$4,A16&lt;=README!$B$5),"Yes","No"))</f>
        <v/>
      </c>
    </row>
    <row r="17" customFormat="false" ht="15" hidden="false" customHeight="false" outlineLevel="0" collapsed="false">
      <c r="F17" s="11" t="str">
        <f aca="false">IF(A17="","",IF(AND(A17&gt;=README!$B$4,A17&lt;=README!$B$5),"Yes","No"))</f>
        <v/>
      </c>
    </row>
    <row r="18" customFormat="false" ht="15" hidden="false" customHeight="false" outlineLevel="0" collapsed="false">
      <c r="F18" s="11" t="str">
        <f aca="false">IF(A18="","",IF(AND(A18&gt;=README!$B$4,A18&lt;=README!$B$5),"Yes","No"))</f>
        <v/>
      </c>
    </row>
    <row r="19" customFormat="false" ht="15" hidden="false" customHeight="false" outlineLevel="0" collapsed="false">
      <c r="F19" s="11" t="str">
        <f aca="false">IF(A19="","",IF(AND(A19&gt;=README!$B$4,A19&lt;=README!$B$5),"Yes","No"))</f>
        <v/>
      </c>
    </row>
    <row r="20" customFormat="false" ht="15" hidden="false" customHeight="false" outlineLevel="0" collapsed="false">
      <c r="F20" s="11" t="str">
        <f aca="false">IF(A20="","",IF(AND(A20&gt;=README!$B$4,A20&lt;=README!$B$5),"Yes","No"))</f>
        <v/>
      </c>
    </row>
    <row r="21" customFormat="false" ht="15" hidden="false" customHeight="false" outlineLevel="0" collapsed="false">
      <c r="F21" s="11" t="str">
        <f aca="false">IF(A21="","",IF(AND(A21&gt;=README!$B$4,A21&lt;=README!$B$5),"Yes","No"))</f>
        <v/>
      </c>
    </row>
    <row r="22" customFormat="false" ht="15" hidden="false" customHeight="false" outlineLevel="0" collapsed="false">
      <c r="F22" s="11" t="str">
        <f aca="false">IF(A22="","",IF(AND(A22&gt;=README!$B$4,A22&lt;=README!$B$5),"Yes","No"))</f>
        <v/>
      </c>
    </row>
    <row r="23" customFormat="false" ht="15" hidden="false" customHeight="false" outlineLevel="0" collapsed="false">
      <c r="F23" s="11" t="str">
        <f aca="false">IF(A23="","",IF(AND(A23&gt;=README!$B$4,A23&lt;=README!$B$5),"Yes","No"))</f>
        <v/>
      </c>
    </row>
    <row r="24" customFormat="false" ht="15" hidden="false" customHeight="false" outlineLevel="0" collapsed="false">
      <c r="F24" s="11" t="str">
        <f aca="false">IF(A24="","",IF(AND(A24&gt;=README!$B$4,A24&lt;=README!$B$5),"Yes","No"))</f>
        <v/>
      </c>
    </row>
    <row r="25" customFormat="false" ht="15" hidden="false" customHeight="false" outlineLevel="0" collapsed="false">
      <c r="F25" s="11" t="str">
        <f aca="false">IF(A25="","",IF(AND(A25&gt;=README!$B$4,A25&lt;=README!$B$5),"Yes","No"))</f>
        <v/>
      </c>
    </row>
    <row r="26" customFormat="false" ht="15" hidden="false" customHeight="false" outlineLevel="0" collapsed="false">
      <c r="F26" s="11" t="str">
        <f aca="false">IF(A26="","",IF(AND(A26&gt;=README!$B$4,A26&lt;=README!$B$5),"Yes","No"))</f>
        <v/>
      </c>
    </row>
    <row r="27" customFormat="false" ht="15" hidden="false" customHeight="false" outlineLevel="0" collapsed="false">
      <c r="F27" s="11" t="str">
        <f aca="false">IF(A27="","",IF(AND(A27&gt;=README!$B$4,A27&lt;=README!$B$5),"Yes","No"))</f>
        <v/>
      </c>
    </row>
    <row r="28" customFormat="false" ht="15" hidden="false" customHeight="false" outlineLevel="0" collapsed="false">
      <c r="F28" s="11" t="str">
        <f aca="false">IF(A28="","",IF(AND(A28&gt;=README!$B$4,A28&lt;=README!$B$5),"Yes","No"))</f>
        <v/>
      </c>
    </row>
    <row r="29" customFormat="false" ht="15" hidden="false" customHeight="false" outlineLevel="0" collapsed="false">
      <c r="F29" s="11" t="str">
        <f aca="false">IF(A29="","",IF(AND(A29&gt;=README!$B$4,A29&lt;=README!$B$5),"Yes","No"))</f>
        <v/>
      </c>
    </row>
    <row r="30" customFormat="false" ht="15" hidden="false" customHeight="false" outlineLevel="0" collapsed="false">
      <c r="F30" s="11" t="str">
        <f aca="false">IF(A30="","",IF(AND(A30&gt;=README!$B$4,A30&lt;=README!$B$5),"Yes","No"))</f>
        <v/>
      </c>
    </row>
    <row r="31" customFormat="false" ht="15" hidden="false" customHeight="false" outlineLevel="0" collapsed="false">
      <c r="F31" s="11" t="str">
        <f aca="false">IF(A31="","",IF(AND(A31&gt;=README!$B$4,A31&lt;=README!$B$5),"Yes","No"))</f>
        <v/>
      </c>
    </row>
    <row r="32" customFormat="false" ht="15" hidden="false" customHeight="false" outlineLevel="0" collapsed="false">
      <c r="F32" s="11" t="str">
        <f aca="false">IF(A32="","",IF(AND(A32&gt;=README!$B$4,A32&lt;=README!$B$5),"Yes","No"))</f>
        <v/>
      </c>
    </row>
    <row r="33" customFormat="false" ht="15" hidden="false" customHeight="false" outlineLevel="0" collapsed="false">
      <c r="F33" s="11" t="str">
        <f aca="false">IF(A33="","",IF(AND(A33&gt;=README!$B$4,A33&lt;=README!$B$5),"Yes","No"))</f>
        <v/>
      </c>
    </row>
    <row r="34" customFormat="false" ht="15" hidden="false" customHeight="false" outlineLevel="0" collapsed="false">
      <c r="F34" s="11" t="str">
        <f aca="false">IF(A34="","",IF(AND(A34&gt;=README!$B$4,A34&lt;=README!$B$5),"Yes","No"))</f>
        <v/>
      </c>
    </row>
    <row r="35" customFormat="false" ht="15" hidden="false" customHeight="false" outlineLevel="0" collapsed="false">
      <c r="F35" s="11" t="str">
        <f aca="false">IF(A35="","",IF(AND(A35&gt;=README!$B$4,A35&lt;=README!$B$5),"Yes","No"))</f>
        <v/>
      </c>
    </row>
    <row r="36" customFormat="false" ht="15" hidden="false" customHeight="false" outlineLevel="0" collapsed="false">
      <c r="F36" s="11" t="str">
        <f aca="false">IF(A36="","",IF(AND(A36&gt;=README!$B$4,A36&lt;=README!$B$5),"Yes","No"))</f>
        <v/>
      </c>
    </row>
    <row r="37" customFormat="false" ht="15" hidden="false" customHeight="false" outlineLevel="0" collapsed="false">
      <c r="F37" s="11" t="str">
        <f aca="false">IF(A37="","",IF(AND(A37&gt;=README!$B$4,A37&lt;=README!$B$5),"Yes","No"))</f>
        <v/>
      </c>
    </row>
    <row r="38" customFormat="false" ht="15" hidden="false" customHeight="false" outlineLevel="0" collapsed="false">
      <c r="F38" s="11" t="str">
        <f aca="false">IF(A38="","",IF(AND(A38&gt;=README!$B$4,A38&lt;=README!$B$5),"Yes","No"))</f>
        <v/>
      </c>
    </row>
    <row r="39" customFormat="false" ht="15" hidden="false" customHeight="false" outlineLevel="0" collapsed="false">
      <c r="F39" s="11" t="str">
        <f aca="false">IF(A39="","",IF(AND(A39&gt;=README!$B$4,A39&lt;=README!$B$5),"Yes","No"))</f>
        <v/>
      </c>
    </row>
    <row r="40" customFormat="false" ht="15" hidden="false" customHeight="false" outlineLevel="0" collapsed="false">
      <c r="F40" s="11" t="str">
        <f aca="false">IF(A40="","",IF(AND(A40&gt;=README!$B$4,A40&lt;=README!$B$5),"Yes","No"))</f>
        <v/>
      </c>
    </row>
    <row r="41" customFormat="false" ht="15" hidden="false" customHeight="false" outlineLevel="0" collapsed="false">
      <c r="F41" s="11" t="str">
        <f aca="false">IF(A41="","",IF(AND(A41&gt;=README!$B$4,A41&lt;=README!$B$5),"Yes","No"))</f>
        <v/>
      </c>
    </row>
    <row r="42" customFormat="false" ht="15" hidden="false" customHeight="false" outlineLevel="0" collapsed="false">
      <c r="F42" s="11" t="str">
        <f aca="false">IF(A42="","",IF(AND(A42&gt;=README!$B$4,A42&lt;=README!$B$5),"Yes","No"))</f>
        <v/>
      </c>
    </row>
    <row r="43" customFormat="false" ht="15" hidden="false" customHeight="false" outlineLevel="0" collapsed="false">
      <c r="F43" s="11" t="str">
        <f aca="false">IF(A43="","",IF(AND(A43&gt;=README!$B$4,A43&lt;=README!$B$5),"Yes","No"))</f>
        <v/>
      </c>
    </row>
    <row r="44" customFormat="false" ht="15" hidden="false" customHeight="false" outlineLevel="0" collapsed="false">
      <c r="F44" s="11" t="str">
        <f aca="false">IF(A44="","",IF(AND(A44&gt;=README!$B$4,A44&lt;=README!$B$5),"Yes","No"))</f>
        <v/>
      </c>
    </row>
    <row r="45" customFormat="false" ht="15" hidden="false" customHeight="false" outlineLevel="0" collapsed="false">
      <c r="F45" s="11" t="str">
        <f aca="false">IF(A45="","",IF(AND(A45&gt;=README!$B$4,A45&lt;=README!$B$5),"Yes","No"))</f>
        <v/>
      </c>
    </row>
    <row r="46" customFormat="false" ht="15" hidden="false" customHeight="false" outlineLevel="0" collapsed="false">
      <c r="F46" s="11" t="str">
        <f aca="false">IF(A46="","",IF(AND(A46&gt;=README!$B$4,A46&lt;=README!$B$5),"Yes","No"))</f>
        <v/>
      </c>
    </row>
    <row r="47" customFormat="false" ht="15" hidden="false" customHeight="false" outlineLevel="0" collapsed="false">
      <c r="F47" s="11" t="str">
        <f aca="false">IF(A47="","",IF(AND(A47&gt;=README!$B$4,A47&lt;=README!$B$5),"Yes","No"))</f>
        <v/>
      </c>
    </row>
    <row r="48" customFormat="false" ht="15" hidden="false" customHeight="false" outlineLevel="0" collapsed="false">
      <c r="F48" s="11" t="str">
        <f aca="false">IF(A48="","",IF(AND(A48&gt;=README!$B$4,A48&lt;=README!$B$5),"Yes","No"))</f>
        <v/>
      </c>
    </row>
    <row r="49" customFormat="false" ht="15" hidden="false" customHeight="false" outlineLevel="0" collapsed="false">
      <c r="F49" s="11" t="str">
        <f aca="false">IF(A49="","",IF(AND(A49&gt;=README!$B$4,A49&lt;=README!$B$5),"Yes","No"))</f>
        <v/>
      </c>
    </row>
    <row r="50" customFormat="false" ht="15" hidden="false" customHeight="false" outlineLevel="0" collapsed="false">
      <c r="F50" s="11" t="str">
        <f aca="false">IF(A50="","",IF(AND(A50&gt;=README!$B$4,A50&lt;=README!$B$5),"Yes","No"))</f>
        <v/>
      </c>
    </row>
    <row r="51" customFormat="false" ht="15" hidden="false" customHeight="false" outlineLevel="0" collapsed="false">
      <c r="F51" s="11" t="str">
        <f aca="false">IF(A51="","",IF(AND(A51&gt;=README!$B$4,A51&lt;=README!$B$5),"Yes","No"))</f>
        <v/>
      </c>
    </row>
    <row r="52" customFormat="false" ht="15" hidden="false" customHeight="false" outlineLevel="0" collapsed="false">
      <c r="F52" s="11" t="str">
        <f aca="false">IF(A52="","",IF(AND(A52&gt;=README!$B$4,A52&lt;=README!$B$5),"Yes","No"))</f>
        <v/>
      </c>
    </row>
    <row r="53" customFormat="false" ht="15" hidden="false" customHeight="false" outlineLevel="0" collapsed="false">
      <c r="F53" s="11" t="str">
        <f aca="false">IF(A53="","",IF(AND(A53&gt;=README!$B$4,A53&lt;=README!$B$5),"Yes","No"))</f>
        <v/>
      </c>
    </row>
    <row r="54" customFormat="false" ht="15" hidden="false" customHeight="false" outlineLevel="0" collapsed="false">
      <c r="F54" s="11" t="str">
        <f aca="false">IF(A54="","",IF(AND(A54&gt;=README!$B$4,A54&lt;=README!$B$5),"Yes","No"))</f>
        <v/>
      </c>
    </row>
    <row r="55" customFormat="false" ht="15" hidden="false" customHeight="false" outlineLevel="0" collapsed="false">
      <c r="F55" s="11" t="str">
        <f aca="false">IF(A55="","",IF(AND(A55&gt;=README!$B$4,A55&lt;=README!$B$5),"Yes","No"))</f>
        <v/>
      </c>
    </row>
    <row r="56" customFormat="false" ht="15" hidden="false" customHeight="false" outlineLevel="0" collapsed="false">
      <c r="F56" s="11" t="str">
        <f aca="false">IF(A56="","",IF(AND(A56&gt;=README!$B$4,A56&lt;=README!$B$5),"Yes","No"))</f>
        <v/>
      </c>
    </row>
    <row r="57" customFormat="false" ht="15" hidden="false" customHeight="false" outlineLevel="0" collapsed="false">
      <c r="F57" s="11" t="str">
        <f aca="false">IF(A57="","",IF(AND(A57&gt;=README!$B$4,A57&lt;=README!$B$5),"Yes","No"))</f>
        <v/>
      </c>
    </row>
    <row r="58" customFormat="false" ht="15" hidden="false" customHeight="false" outlineLevel="0" collapsed="false">
      <c r="F58" s="11" t="str">
        <f aca="false">IF(A58="","",IF(AND(A58&gt;=README!$B$4,A58&lt;=README!$B$5),"Yes","No"))</f>
        <v/>
      </c>
    </row>
    <row r="59" customFormat="false" ht="15" hidden="false" customHeight="false" outlineLevel="0" collapsed="false">
      <c r="F59" s="11" t="str">
        <f aca="false">IF(A59="","",IF(AND(A59&gt;=README!$B$4,A59&lt;=README!$B$5),"Yes","No"))</f>
        <v/>
      </c>
    </row>
    <row r="60" customFormat="false" ht="15" hidden="false" customHeight="false" outlineLevel="0" collapsed="false">
      <c r="F60" s="11" t="str">
        <f aca="false">IF(A60="","",IF(AND(A60&gt;=README!$B$4,A60&lt;=README!$B$5),"Yes","No"))</f>
        <v/>
      </c>
    </row>
    <row r="61" customFormat="false" ht="15" hidden="false" customHeight="false" outlineLevel="0" collapsed="false">
      <c r="F61" s="11" t="str">
        <f aca="false">IF(A61="","",IF(AND(A61&gt;=README!$B$4,A61&lt;=README!$B$5),"Yes","No"))</f>
        <v/>
      </c>
    </row>
    <row r="62" customFormat="false" ht="15" hidden="false" customHeight="false" outlineLevel="0" collapsed="false">
      <c r="F62" s="11" t="str">
        <f aca="false">IF(A62="","",IF(AND(A62&gt;=README!$B$4,A62&lt;=README!$B$5),"Yes","No"))</f>
        <v/>
      </c>
    </row>
    <row r="63" customFormat="false" ht="15" hidden="false" customHeight="false" outlineLevel="0" collapsed="false">
      <c r="F63" s="11" t="str">
        <f aca="false">IF(A63="","",IF(AND(A63&gt;=README!$B$4,A63&lt;=README!$B$5),"Yes","No"))</f>
        <v/>
      </c>
    </row>
    <row r="64" customFormat="false" ht="15" hidden="false" customHeight="false" outlineLevel="0" collapsed="false">
      <c r="F64" s="11" t="str">
        <f aca="false">IF(A64="","",IF(AND(A64&gt;=README!$B$4,A64&lt;=README!$B$5),"Yes","No"))</f>
        <v/>
      </c>
    </row>
    <row r="65" customFormat="false" ht="15" hidden="false" customHeight="false" outlineLevel="0" collapsed="false">
      <c r="F65" s="11" t="str">
        <f aca="false">IF(A65="","",IF(AND(A65&gt;=README!$B$4,A65&lt;=README!$B$5),"Yes","No"))</f>
        <v/>
      </c>
    </row>
    <row r="66" customFormat="false" ht="15" hidden="false" customHeight="false" outlineLevel="0" collapsed="false">
      <c r="F66" s="11" t="str">
        <f aca="false">IF(A66="","",IF(AND(A66&gt;=README!$B$4,A66&lt;=README!$B$5),"Yes","No"))</f>
        <v/>
      </c>
    </row>
    <row r="67" customFormat="false" ht="15" hidden="false" customHeight="false" outlineLevel="0" collapsed="false">
      <c r="F67" s="11" t="str">
        <f aca="false">IF(A67="","",IF(AND(A67&gt;=README!$B$4,A67&lt;=README!$B$5),"Yes","No"))</f>
        <v/>
      </c>
    </row>
    <row r="68" customFormat="false" ht="15" hidden="false" customHeight="false" outlineLevel="0" collapsed="false">
      <c r="F68" s="11" t="str">
        <f aca="false">IF(A68="","",IF(AND(A68&gt;=README!$B$4,A68&lt;=README!$B$5),"Yes","No"))</f>
        <v/>
      </c>
    </row>
    <row r="69" customFormat="false" ht="15" hidden="false" customHeight="false" outlineLevel="0" collapsed="false">
      <c r="F69" s="11" t="str">
        <f aca="false">IF(A69="","",IF(AND(A69&gt;=README!$B$4,A69&lt;=README!$B$5),"Yes","No"))</f>
        <v/>
      </c>
    </row>
    <row r="70" customFormat="false" ht="15" hidden="false" customHeight="false" outlineLevel="0" collapsed="false">
      <c r="F70" s="11" t="str">
        <f aca="false">IF(A70="","",IF(AND(A70&gt;=README!$B$4,A70&lt;=README!$B$5),"Yes","No"))</f>
        <v/>
      </c>
    </row>
    <row r="71" customFormat="false" ht="15" hidden="false" customHeight="false" outlineLevel="0" collapsed="false">
      <c r="F71" s="11" t="str">
        <f aca="false">IF(A71="","",IF(AND(A71&gt;=README!$B$4,A71&lt;=README!$B$5),"Yes","No"))</f>
        <v/>
      </c>
    </row>
    <row r="72" customFormat="false" ht="15" hidden="false" customHeight="false" outlineLevel="0" collapsed="false">
      <c r="F72" s="11" t="str">
        <f aca="false">IF(A72="","",IF(AND(A72&gt;=README!$B$4,A72&lt;=README!$B$5),"Yes","No"))</f>
        <v/>
      </c>
    </row>
    <row r="73" customFormat="false" ht="15" hidden="false" customHeight="false" outlineLevel="0" collapsed="false">
      <c r="F73" s="11" t="str">
        <f aca="false">IF(A73="","",IF(AND(A73&gt;=README!$B$4,A73&lt;=README!$B$5),"Yes","No"))</f>
        <v/>
      </c>
    </row>
    <row r="74" customFormat="false" ht="15" hidden="false" customHeight="false" outlineLevel="0" collapsed="false">
      <c r="F74" s="11" t="str">
        <f aca="false">IF(A74="","",IF(AND(A74&gt;=README!$B$4,A74&lt;=README!$B$5),"Yes","No"))</f>
        <v/>
      </c>
    </row>
    <row r="75" customFormat="false" ht="15" hidden="false" customHeight="false" outlineLevel="0" collapsed="false">
      <c r="F75" s="11" t="str">
        <f aca="false">IF(A75="","",IF(AND(A75&gt;=README!$B$4,A75&lt;=README!$B$5),"Yes","No"))</f>
        <v/>
      </c>
    </row>
    <row r="76" customFormat="false" ht="15" hidden="false" customHeight="false" outlineLevel="0" collapsed="false">
      <c r="F76" s="11" t="str">
        <f aca="false">IF(A76="","",IF(AND(A76&gt;=README!$B$4,A76&lt;=README!$B$5),"Yes","No"))</f>
        <v/>
      </c>
    </row>
    <row r="77" customFormat="false" ht="15" hidden="false" customHeight="false" outlineLevel="0" collapsed="false">
      <c r="F77" s="11" t="str">
        <f aca="false">IF(A77="","",IF(AND(A77&gt;=README!$B$4,A77&lt;=README!$B$5),"Yes","No"))</f>
        <v/>
      </c>
    </row>
    <row r="78" customFormat="false" ht="15" hidden="false" customHeight="false" outlineLevel="0" collapsed="false">
      <c r="F78" s="11" t="str">
        <f aca="false">IF(A78="","",IF(AND(A78&gt;=README!$B$4,A78&lt;=README!$B$5),"Yes","No"))</f>
        <v/>
      </c>
    </row>
    <row r="79" customFormat="false" ht="15" hidden="false" customHeight="false" outlineLevel="0" collapsed="false">
      <c r="F79" s="11" t="str">
        <f aca="false">IF(A79="","",IF(AND(A79&gt;=README!$B$4,A79&lt;=README!$B$5),"Yes","No"))</f>
        <v/>
      </c>
    </row>
    <row r="80" customFormat="false" ht="15" hidden="false" customHeight="false" outlineLevel="0" collapsed="false">
      <c r="F80" s="11" t="str">
        <f aca="false">IF(A80="","",IF(AND(A80&gt;=README!$B$4,A80&lt;=README!$B$5),"Yes","No"))</f>
        <v/>
      </c>
    </row>
    <row r="81" customFormat="false" ht="15" hidden="false" customHeight="false" outlineLevel="0" collapsed="false">
      <c r="F81" s="11" t="str">
        <f aca="false">IF(A81="","",IF(AND(A81&gt;=README!$B$4,A81&lt;=README!$B$5),"Yes","No"))</f>
        <v/>
      </c>
    </row>
    <row r="82" customFormat="false" ht="15" hidden="false" customHeight="false" outlineLevel="0" collapsed="false">
      <c r="F82" s="11" t="str">
        <f aca="false">IF(A82="","",IF(AND(A82&gt;=README!$B$4,A82&lt;=README!$B$5),"Yes","No"))</f>
        <v/>
      </c>
    </row>
    <row r="83" customFormat="false" ht="15" hidden="false" customHeight="false" outlineLevel="0" collapsed="false">
      <c r="F83" s="11" t="str">
        <f aca="false">IF(A83="","",IF(AND(A83&gt;=README!$B$4,A83&lt;=README!$B$5),"Yes","No"))</f>
        <v/>
      </c>
    </row>
    <row r="84" customFormat="false" ht="15" hidden="false" customHeight="false" outlineLevel="0" collapsed="false">
      <c r="F84" s="11" t="str">
        <f aca="false">IF(A84="","",IF(AND(A84&gt;=README!$B$4,A84&lt;=README!$B$5),"Yes","No"))</f>
        <v/>
      </c>
    </row>
    <row r="85" customFormat="false" ht="15" hidden="false" customHeight="false" outlineLevel="0" collapsed="false">
      <c r="F85" s="11" t="str">
        <f aca="false">IF(A85="","",IF(AND(A85&gt;=README!$B$4,A85&lt;=README!$B$5),"Yes","No"))</f>
        <v/>
      </c>
    </row>
    <row r="86" customFormat="false" ht="15" hidden="false" customHeight="false" outlineLevel="0" collapsed="false">
      <c r="F86" s="11" t="str">
        <f aca="false">IF(A86="","",IF(AND(A86&gt;=README!$B$4,A86&lt;=README!$B$5),"Yes","No"))</f>
        <v/>
      </c>
    </row>
    <row r="87" customFormat="false" ht="15" hidden="false" customHeight="false" outlineLevel="0" collapsed="false">
      <c r="F87" s="11" t="str">
        <f aca="false">IF(A87="","",IF(AND(A87&gt;=README!$B$4,A87&lt;=README!$B$5),"Yes","No"))</f>
        <v/>
      </c>
    </row>
    <row r="88" customFormat="false" ht="15" hidden="false" customHeight="false" outlineLevel="0" collapsed="false">
      <c r="F88" s="11" t="str">
        <f aca="false">IF(A88="","",IF(AND(A88&gt;=README!$B$4,A88&lt;=README!$B$5),"Yes","No"))</f>
        <v/>
      </c>
    </row>
    <row r="89" customFormat="false" ht="15" hidden="false" customHeight="false" outlineLevel="0" collapsed="false">
      <c r="F89" s="11" t="str">
        <f aca="false">IF(A89="","",IF(AND(A89&gt;=README!$B$4,A89&lt;=README!$B$5),"Yes","No"))</f>
        <v/>
      </c>
    </row>
    <row r="90" customFormat="false" ht="15" hidden="false" customHeight="false" outlineLevel="0" collapsed="false">
      <c r="F90" s="11" t="str">
        <f aca="false">IF(A90="","",IF(AND(A90&gt;=README!$B$4,A90&lt;=README!$B$5),"Yes","No"))</f>
        <v/>
      </c>
    </row>
    <row r="91" customFormat="false" ht="15" hidden="false" customHeight="false" outlineLevel="0" collapsed="false">
      <c r="F91" s="11" t="str">
        <f aca="false">IF(A91="","",IF(AND(A91&gt;=README!$B$4,A91&lt;=README!$B$5),"Yes","No"))</f>
        <v/>
      </c>
    </row>
    <row r="92" customFormat="false" ht="15" hidden="false" customHeight="false" outlineLevel="0" collapsed="false">
      <c r="F92" s="11" t="str">
        <f aca="false">IF(A92="","",IF(AND(A92&gt;=README!$B$4,A92&lt;=README!$B$5),"Yes","No"))</f>
        <v/>
      </c>
    </row>
    <row r="93" customFormat="false" ht="15" hidden="false" customHeight="false" outlineLevel="0" collapsed="false">
      <c r="F93" s="11" t="str">
        <f aca="false">IF(A93="","",IF(AND(A93&gt;=README!$B$4,A93&lt;=README!$B$5),"Yes","No"))</f>
        <v/>
      </c>
    </row>
    <row r="94" customFormat="false" ht="15" hidden="false" customHeight="false" outlineLevel="0" collapsed="false">
      <c r="F94" s="11" t="str">
        <f aca="false">IF(A94="","",IF(AND(A94&gt;=README!$B$4,A94&lt;=README!$B$5),"Yes","No"))</f>
        <v/>
      </c>
    </row>
    <row r="95" customFormat="false" ht="15" hidden="false" customHeight="false" outlineLevel="0" collapsed="false">
      <c r="F95" s="11" t="str">
        <f aca="false">IF(A95="","",IF(AND(A95&gt;=README!$B$4,A95&lt;=README!$B$5),"Yes","No"))</f>
        <v/>
      </c>
    </row>
    <row r="96" customFormat="false" ht="15" hidden="false" customHeight="false" outlineLevel="0" collapsed="false">
      <c r="F96" s="11" t="str">
        <f aca="false">IF(A96="","",IF(AND(A96&gt;=README!$B$4,A96&lt;=README!$B$5),"Yes","No"))</f>
        <v/>
      </c>
    </row>
    <row r="97" customFormat="false" ht="15" hidden="false" customHeight="false" outlineLevel="0" collapsed="false">
      <c r="F97" s="11" t="str">
        <f aca="false">IF(A97="","",IF(AND(A97&gt;=README!$B$4,A97&lt;=README!$B$5),"Yes","No"))</f>
        <v/>
      </c>
    </row>
    <row r="98" customFormat="false" ht="15" hidden="false" customHeight="false" outlineLevel="0" collapsed="false">
      <c r="F98" s="11" t="str">
        <f aca="false">IF(A98="","",IF(AND(A98&gt;=README!$B$4,A98&lt;=README!$B$5),"Yes","No"))</f>
        <v/>
      </c>
    </row>
    <row r="99" customFormat="false" ht="15" hidden="false" customHeight="false" outlineLevel="0" collapsed="false">
      <c r="F99" s="11" t="str">
        <f aca="false">IF(A99="","",IF(AND(A99&gt;=README!$B$4,A99&lt;=README!$B$5),"Yes","No"))</f>
        <v/>
      </c>
    </row>
    <row r="100" customFormat="false" ht="15" hidden="false" customHeight="false" outlineLevel="0" collapsed="false">
      <c r="F100" s="11" t="str">
        <f aca="false">IF(A100="","",IF(AND(A100&gt;=README!$B$4,A100&lt;=README!$B$5),"Yes","No"))</f>
        <v/>
      </c>
    </row>
    <row r="101" customFormat="false" ht="15" hidden="false" customHeight="false" outlineLevel="0" collapsed="false">
      <c r="F101" s="11" t="str">
        <f aca="false">IF(A101="","",IF(AND(A101&gt;=README!$B$4,A101&lt;=README!$B$5),"Yes","No"))</f>
        <v/>
      </c>
    </row>
    <row r="102" customFormat="false" ht="15" hidden="false" customHeight="false" outlineLevel="0" collapsed="false">
      <c r="F102" s="11" t="str">
        <f aca="false">IF(A102="","",IF(AND(A102&gt;=README!$B$4,A102&lt;=README!$B$5),"Yes","No"))</f>
        <v/>
      </c>
    </row>
    <row r="103" customFormat="false" ht="15" hidden="false" customHeight="false" outlineLevel="0" collapsed="false">
      <c r="F103" s="11" t="str">
        <f aca="false">IF(A103="","",IF(AND(A103&gt;=README!$B$4,A103&lt;=README!$B$5),"Yes","No"))</f>
        <v/>
      </c>
    </row>
    <row r="104" customFormat="false" ht="15" hidden="false" customHeight="false" outlineLevel="0" collapsed="false">
      <c r="F104" s="11" t="str">
        <f aca="false">IF(A104="","",IF(AND(A104&gt;=README!$B$4,A104&lt;=README!$B$5),"Yes","No"))</f>
        <v/>
      </c>
    </row>
    <row r="105" customFormat="false" ht="15" hidden="false" customHeight="false" outlineLevel="0" collapsed="false">
      <c r="F105" s="11" t="str">
        <f aca="false">IF(A105="","",IF(AND(A105&gt;=README!$B$4,A105&lt;=README!$B$5),"Yes","No"))</f>
        <v/>
      </c>
    </row>
    <row r="106" customFormat="false" ht="15" hidden="false" customHeight="false" outlineLevel="0" collapsed="false">
      <c r="F106" s="11" t="str">
        <f aca="false">IF(A106="","",IF(AND(A106&gt;=README!$B$4,A106&lt;=README!$B$5),"Yes","No"))</f>
        <v/>
      </c>
    </row>
    <row r="107" customFormat="false" ht="15" hidden="false" customHeight="false" outlineLevel="0" collapsed="false">
      <c r="F107" s="11" t="str">
        <f aca="false">IF(A107="","",IF(AND(A107&gt;=README!$B$4,A107&lt;=README!$B$5),"Yes","No"))</f>
        <v/>
      </c>
    </row>
    <row r="108" customFormat="false" ht="15" hidden="false" customHeight="false" outlineLevel="0" collapsed="false">
      <c r="F108" s="11" t="str">
        <f aca="false">IF(A108="","",IF(AND(A108&gt;=README!$B$4,A108&lt;=README!$B$5),"Yes","No"))</f>
        <v/>
      </c>
    </row>
    <row r="109" customFormat="false" ht="15" hidden="false" customHeight="false" outlineLevel="0" collapsed="false">
      <c r="F109" s="11" t="str">
        <f aca="false">IF(A109="","",IF(AND(A109&gt;=README!$B$4,A109&lt;=README!$B$5),"Yes","No"))</f>
        <v/>
      </c>
    </row>
    <row r="110" customFormat="false" ht="15" hidden="false" customHeight="false" outlineLevel="0" collapsed="false">
      <c r="F110" s="11" t="str">
        <f aca="false">IF(A110="","",IF(AND(A110&gt;=README!$B$4,A110&lt;=README!$B$5),"Yes","No"))</f>
        <v/>
      </c>
    </row>
    <row r="111" customFormat="false" ht="15" hidden="false" customHeight="false" outlineLevel="0" collapsed="false">
      <c r="F111" s="11" t="str">
        <f aca="false">IF(A111="","",IF(AND(A111&gt;=README!$B$4,A111&lt;=README!$B$5),"Yes","No"))</f>
        <v/>
      </c>
    </row>
    <row r="112" customFormat="false" ht="15" hidden="false" customHeight="false" outlineLevel="0" collapsed="false">
      <c r="F112" s="11" t="str">
        <f aca="false">IF(A112="","",IF(AND(A112&gt;=README!$B$4,A112&lt;=README!$B$5),"Yes","No"))</f>
        <v/>
      </c>
    </row>
    <row r="113" customFormat="false" ht="15" hidden="false" customHeight="false" outlineLevel="0" collapsed="false">
      <c r="F113" s="11" t="str">
        <f aca="false">IF(A113="","",IF(AND(A113&gt;=README!$B$4,A113&lt;=README!$B$5),"Yes","No"))</f>
        <v/>
      </c>
    </row>
    <row r="114" customFormat="false" ht="15" hidden="false" customHeight="false" outlineLevel="0" collapsed="false">
      <c r="F114" s="11" t="str">
        <f aca="false">IF(A114="","",IF(AND(A114&gt;=README!$B$4,A114&lt;=README!$B$5),"Yes","No"))</f>
        <v/>
      </c>
    </row>
    <row r="115" customFormat="false" ht="15" hidden="false" customHeight="false" outlineLevel="0" collapsed="false">
      <c r="F115" s="11" t="str">
        <f aca="false">IF(A115="","",IF(AND(A115&gt;=README!$B$4,A115&lt;=README!$B$5),"Yes","No"))</f>
        <v/>
      </c>
    </row>
    <row r="116" customFormat="false" ht="15" hidden="false" customHeight="false" outlineLevel="0" collapsed="false">
      <c r="F116" s="11" t="str">
        <f aca="false">IF(A116="","",IF(AND(A116&gt;=README!$B$4,A116&lt;=README!$B$5),"Yes","No"))</f>
        <v/>
      </c>
    </row>
    <row r="117" customFormat="false" ht="15" hidden="false" customHeight="false" outlineLevel="0" collapsed="false">
      <c r="F117" s="11" t="str">
        <f aca="false">IF(A117="","",IF(AND(A117&gt;=README!$B$4,A117&lt;=README!$B$5),"Yes","No"))</f>
        <v/>
      </c>
    </row>
    <row r="118" customFormat="false" ht="15" hidden="false" customHeight="false" outlineLevel="0" collapsed="false">
      <c r="F118" s="11" t="str">
        <f aca="false">IF(A118="","",IF(AND(A118&gt;=README!$B$4,A118&lt;=README!$B$5),"Yes","No"))</f>
        <v/>
      </c>
    </row>
    <row r="119" customFormat="false" ht="15" hidden="false" customHeight="false" outlineLevel="0" collapsed="false">
      <c r="F119" s="11" t="str">
        <f aca="false">IF(A119="","",IF(AND(A119&gt;=README!$B$4,A119&lt;=README!$B$5),"Yes","No"))</f>
        <v/>
      </c>
    </row>
    <row r="120" customFormat="false" ht="15" hidden="false" customHeight="false" outlineLevel="0" collapsed="false">
      <c r="F120" s="11" t="str">
        <f aca="false">IF(A120="","",IF(AND(A120&gt;=README!$B$4,A120&lt;=README!$B$5),"Yes","No"))</f>
        <v/>
      </c>
    </row>
    <row r="121" customFormat="false" ht="15" hidden="false" customHeight="false" outlineLevel="0" collapsed="false">
      <c r="F121" s="11" t="str">
        <f aca="false">IF(A121="","",IF(AND(A121&gt;=README!$B$4,A121&lt;=README!$B$5),"Yes","No"))</f>
        <v/>
      </c>
    </row>
    <row r="122" customFormat="false" ht="15" hidden="false" customHeight="false" outlineLevel="0" collapsed="false">
      <c r="F122" s="11" t="str">
        <f aca="false">IF(A122="","",IF(AND(A122&gt;=README!$B$4,A122&lt;=README!$B$5),"Yes","No"))</f>
        <v/>
      </c>
    </row>
    <row r="123" customFormat="false" ht="15" hidden="false" customHeight="false" outlineLevel="0" collapsed="false">
      <c r="F123" s="11" t="str">
        <f aca="false">IF(A123="","",IF(AND(A123&gt;=README!$B$4,A123&lt;=README!$B$5),"Yes","No"))</f>
        <v/>
      </c>
    </row>
    <row r="124" customFormat="false" ht="15" hidden="false" customHeight="false" outlineLevel="0" collapsed="false">
      <c r="F124" s="11" t="str">
        <f aca="false">IF(A124="","",IF(AND(A124&gt;=README!$B$4,A124&lt;=README!$B$5),"Yes","No"))</f>
        <v/>
      </c>
    </row>
    <row r="125" customFormat="false" ht="15" hidden="false" customHeight="false" outlineLevel="0" collapsed="false">
      <c r="F125" s="11" t="str">
        <f aca="false">IF(A125="","",IF(AND(A125&gt;=README!$B$4,A125&lt;=README!$B$5),"Yes","No"))</f>
        <v/>
      </c>
    </row>
    <row r="126" customFormat="false" ht="15" hidden="false" customHeight="false" outlineLevel="0" collapsed="false">
      <c r="F126" s="11" t="str">
        <f aca="false">IF(A126="","",IF(AND(A126&gt;=README!$B$4,A126&lt;=README!$B$5),"Yes","No"))</f>
        <v/>
      </c>
    </row>
    <row r="127" customFormat="false" ht="15" hidden="false" customHeight="false" outlineLevel="0" collapsed="false">
      <c r="F127" s="11" t="str">
        <f aca="false">IF(A127="","",IF(AND(A127&gt;=README!$B$4,A127&lt;=README!$B$5),"Yes","No"))</f>
        <v/>
      </c>
    </row>
    <row r="128" customFormat="false" ht="15" hidden="false" customHeight="false" outlineLevel="0" collapsed="false">
      <c r="F128" s="11" t="str">
        <f aca="false">IF(A128="","",IF(AND(A128&gt;=README!$B$4,A128&lt;=README!$B$5),"Yes","No"))</f>
        <v/>
      </c>
    </row>
    <row r="129" customFormat="false" ht="15" hidden="false" customHeight="false" outlineLevel="0" collapsed="false">
      <c r="F129" s="11" t="str">
        <f aca="false">IF(A129="","",IF(AND(A129&gt;=README!$B$4,A129&lt;=README!$B$5),"Yes","No"))</f>
        <v/>
      </c>
    </row>
    <row r="130" customFormat="false" ht="15" hidden="false" customHeight="false" outlineLevel="0" collapsed="false">
      <c r="F130" s="11" t="str">
        <f aca="false">IF(A130="","",IF(AND(A130&gt;=README!$B$4,A130&lt;=README!$B$5),"Yes","No"))</f>
        <v/>
      </c>
    </row>
    <row r="131" customFormat="false" ht="15" hidden="false" customHeight="false" outlineLevel="0" collapsed="false">
      <c r="F131" s="11" t="str">
        <f aca="false">IF(A131="","",IF(AND(A131&gt;=README!$B$4,A131&lt;=README!$B$5),"Yes","No"))</f>
        <v/>
      </c>
    </row>
    <row r="132" customFormat="false" ht="15" hidden="false" customHeight="false" outlineLevel="0" collapsed="false">
      <c r="F132" s="11" t="str">
        <f aca="false">IF(A132="","",IF(AND(A132&gt;=README!$B$4,A132&lt;=README!$B$5),"Yes","No"))</f>
        <v/>
      </c>
    </row>
    <row r="133" customFormat="false" ht="15" hidden="false" customHeight="false" outlineLevel="0" collapsed="false">
      <c r="F133" s="11" t="str">
        <f aca="false">IF(A133="","",IF(AND(A133&gt;=README!$B$4,A133&lt;=README!$B$5),"Yes","No"))</f>
        <v/>
      </c>
    </row>
    <row r="134" customFormat="false" ht="15" hidden="false" customHeight="false" outlineLevel="0" collapsed="false">
      <c r="F134" s="11" t="str">
        <f aca="false">IF(A134="","",IF(AND(A134&gt;=README!$B$4,A134&lt;=README!$B$5),"Yes","No"))</f>
        <v/>
      </c>
    </row>
    <row r="135" customFormat="false" ht="15" hidden="false" customHeight="false" outlineLevel="0" collapsed="false">
      <c r="F135" s="11" t="str">
        <f aca="false">IF(A135="","",IF(AND(A135&gt;=README!$B$4,A135&lt;=README!$B$5),"Yes","No"))</f>
        <v/>
      </c>
    </row>
    <row r="136" customFormat="false" ht="15" hidden="false" customHeight="false" outlineLevel="0" collapsed="false">
      <c r="F136" s="11" t="str">
        <f aca="false">IF(A136="","",IF(AND(A136&gt;=README!$B$4,A136&lt;=README!$B$5),"Yes","No"))</f>
        <v/>
      </c>
    </row>
    <row r="137" customFormat="false" ht="15" hidden="false" customHeight="false" outlineLevel="0" collapsed="false">
      <c r="F137" s="11" t="str">
        <f aca="false">IF(A137="","",IF(AND(A137&gt;=README!$B$4,A137&lt;=README!$B$5),"Yes","No"))</f>
        <v/>
      </c>
    </row>
    <row r="138" customFormat="false" ht="15" hidden="false" customHeight="false" outlineLevel="0" collapsed="false">
      <c r="F138" s="11" t="str">
        <f aca="false">IF(A138="","",IF(AND(A138&gt;=README!$B$4,A138&lt;=README!$B$5),"Yes","No"))</f>
        <v/>
      </c>
    </row>
    <row r="139" customFormat="false" ht="15" hidden="false" customHeight="false" outlineLevel="0" collapsed="false">
      <c r="F139" s="11" t="str">
        <f aca="false">IF(A139="","",IF(AND(A139&gt;=README!$B$4,A139&lt;=README!$B$5),"Yes","No"))</f>
        <v/>
      </c>
    </row>
    <row r="140" customFormat="false" ht="15" hidden="false" customHeight="false" outlineLevel="0" collapsed="false">
      <c r="F140" s="11" t="str">
        <f aca="false">IF(A140="","",IF(AND(A140&gt;=README!$B$4,A140&lt;=README!$B$5),"Yes","No"))</f>
        <v/>
      </c>
    </row>
    <row r="141" customFormat="false" ht="15" hidden="false" customHeight="false" outlineLevel="0" collapsed="false">
      <c r="F141" s="11" t="str">
        <f aca="false">IF(A141="","",IF(AND(A141&gt;=README!$B$4,A141&lt;=README!$B$5),"Yes","No"))</f>
        <v/>
      </c>
    </row>
    <row r="142" customFormat="false" ht="15" hidden="false" customHeight="false" outlineLevel="0" collapsed="false">
      <c r="F142" s="11" t="str">
        <f aca="false">IF(A142="","",IF(AND(A142&gt;=README!$B$4,A142&lt;=README!$B$5),"Yes","No"))</f>
        <v/>
      </c>
    </row>
    <row r="143" customFormat="false" ht="15" hidden="false" customHeight="false" outlineLevel="0" collapsed="false">
      <c r="F143" s="11" t="str">
        <f aca="false">IF(A143="","",IF(AND(A143&gt;=README!$B$4,A143&lt;=README!$B$5),"Yes","No"))</f>
        <v/>
      </c>
    </row>
    <row r="144" customFormat="false" ht="15" hidden="false" customHeight="false" outlineLevel="0" collapsed="false">
      <c r="F144" s="11" t="str">
        <f aca="false">IF(A144="","",IF(AND(A144&gt;=README!$B$4,A144&lt;=README!$B$5),"Yes","No"))</f>
        <v/>
      </c>
    </row>
    <row r="145" customFormat="false" ht="15" hidden="false" customHeight="false" outlineLevel="0" collapsed="false">
      <c r="F145" s="11" t="str">
        <f aca="false">IF(A145="","",IF(AND(A145&gt;=README!$B$4,A145&lt;=README!$B$5),"Yes","No"))</f>
        <v/>
      </c>
    </row>
    <row r="146" customFormat="false" ht="15" hidden="false" customHeight="false" outlineLevel="0" collapsed="false">
      <c r="F146" s="11" t="str">
        <f aca="false">IF(A146="","",IF(AND(A146&gt;=README!$B$4,A146&lt;=README!$B$5),"Yes","No"))</f>
        <v/>
      </c>
    </row>
    <row r="147" customFormat="false" ht="15" hidden="false" customHeight="false" outlineLevel="0" collapsed="false">
      <c r="F147" s="11" t="str">
        <f aca="false">IF(A147="","",IF(AND(A147&gt;=README!$B$4,A147&lt;=README!$B$5),"Yes","No"))</f>
        <v/>
      </c>
    </row>
    <row r="148" customFormat="false" ht="15" hidden="false" customHeight="false" outlineLevel="0" collapsed="false">
      <c r="F148" s="11" t="str">
        <f aca="false">IF(A148="","",IF(AND(A148&gt;=README!$B$4,A148&lt;=README!$B$5),"Yes","No"))</f>
        <v/>
      </c>
    </row>
    <row r="149" customFormat="false" ht="15" hidden="false" customHeight="false" outlineLevel="0" collapsed="false">
      <c r="F149" s="11" t="str">
        <f aca="false">IF(A149="","",IF(AND(A149&gt;=README!$B$4,A149&lt;=README!$B$5),"Yes","No"))</f>
        <v/>
      </c>
    </row>
    <row r="150" customFormat="false" ht="15" hidden="false" customHeight="false" outlineLevel="0" collapsed="false">
      <c r="F150" s="11" t="str">
        <f aca="false">IF(A150="","",IF(AND(A150&gt;=README!$B$4,A150&lt;=README!$B$5),"Yes","No"))</f>
        <v/>
      </c>
    </row>
    <row r="151" customFormat="false" ht="15" hidden="false" customHeight="false" outlineLevel="0" collapsed="false">
      <c r="F151" s="11" t="str">
        <f aca="false">IF(A151="","",IF(AND(A151&gt;=README!$B$4,A151&lt;=README!$B$5),"Yes","No"))</f>
        <v/>
      </c>
    </row>
    <row r="152" customFormat="false" ht="15" hidden="false" customHeight="false" outlineLevel="0" collapsed="false">
      <c r="F152" s="11" t="str">
        <f aca="false">IF(A152="","",IF(AND(A152&gt;=README!$B$4,A152&lt;=README!$B$5),"Yes","No"))</f>
        <v/>
      </c>
    </row>
    <row r="153" customFormat="false" ht="15" hidden="false" customHeight="false" outlineLevel="0" collapsed="false">
      <c r="F153" s="11" t="str">
        <f aca="false">IF(A153="","",IF(AND(A153&gt;=README!$B$4,A153&lt;=README!$B$5),"Yes","No"))</f>
        <v/>
      </c>
    </row>
    <row r="154" customFormat="false" ht="15" hidden="false" customHeight="false" outlineLevel="0" collapsed="false">
      <c r="F154" s="11" t="str">
        <f aca="false">IF(A154="","",IF(AND(A154&gt;=README!$B$4,A154&lt;=README!$B$5),"Yes","No"))</f>
        <v/>
      </c>
    </row>
    <row r="155" customFormat="false" ht="15" hidden="false" customHeight="false" outlineLevel="0" collapsed="false">
      <c r="F155" s="11" t="str">
        <f aca="false">IF(A155="","",IF(AND(A155&gt;=README!$B$4,A155&lt;=README!$B$5),"Yes","No"))</f>
        <v/>
      </c>
    </row>
    <row r="156" customFormat="false" ht="15" hidden="false" customHeight="false" outlineLevel="0" collapsed="false">
      <c r="F156" s="11" t="str">
        <f aca="false">IF(A156="","",IF(AND(A156&gt;=README!$B$4,A156&lt;=README!$B$5),"Yes","No"))</f>
        <v/>
      </c>
    </row>
    <row r="157" customFormat="false" ht="15" hidden="false" customHeight="false" outlineLevel="0" collapsed="false">
      <c r="F157" s="11" t="str">
        <f aca="false">IF(A157="","",IF(AND(A157&gt;=README!$B$4,A157&lt;=README!$B$5),"Yes","No"))</f>
        <v/>
      </c>
    </row>
    <row r="158" customFormat="false" ht="15" hidden="false" customHeight="false" outlineLevel="0" collapsed="false">
      <c r="F158" s="11" t="str">
        <f aca="false">IF(A158="","",IF(AND(A158&gt;=README!$B$4,A158&lt;=README!$B$5),"Yes","No"))</f>
        <v/>
      </c>
    </row>
    <row r="159" customFormat="false" ht="15" hidden="false" customHeight="false" outlineLevel="0" collapsed="false">
      <c r="F159" s="11" t="str">
        <f aca="false">IF(A159="","",IF(AND(A159&gt;=README!$B$4,A159&lt;=README!$B$5),"Yes","No"))</f>
        <v/>
      </c>
    </row>
    <row r="160" customFormat="false" ht="15" hidden="false" customHeight="false" outlineLevel="0" collapsed="false">
      <c r="F160" s="11" t="str">
        <f aca="false">IF(A160="","",IF(AND(A160&gt;=README!$B$4,A160&lt;=README!$B$5),"Yes","No"))</f>
        <v/>
      </c>
    </row>
    <row r="161" customFormat="false" ht="15" hidden="false" customHeight="false" outlineLevel="0" collapsed="false">
      <c r="F161" s="11" t="str">
        <f aca="false">IF(A161="","",IF(AND(A161&gt;=README!$B$4,A161&lt;=README!$B$5),"Yes","No"))</f>
        <v/>
      </c>
    </row>
    <row r="162" customFormat="false" ht="15" hidden="false" customHeight="false" outlineLevel="0" collapsed="false">
      <c r="F162" s="11" t="str">
        <f aca="false">IF(A162="","",IF(AND(A162&gt;=README!$B$4,A162&lt;=README!$B$5),"Yes","No"))</f>
        <v/>
      </c>
    </row>
    <row r="163" customFormat="false" ht="15" hidden="false" customHeight="false" outlineLevel="0" collapsed="false">
      <c r="F163" s="11" t="str">
        <f aca="false">IF(A163="","",IF(AND(A163&gt;=README!$B$4,A163&lt;=README!$B$5),"Yes","No"))</f>
        <v/>
      </c>
    </row>
    <row r="164" customFormat="false" ht="15" hidden="false" customHeight="false" outlineLevel="0" collapsed="false">
      <c r="F164" s="11" t="str">
        <f aca="false">IF(A164="","",IF(AND(A164&gt;=README!$B$4,A164&lt;=README!$B$5),"Yes","No"))</f>
        <v/>
      </c>
    </row>
    <row r="165" customFormat="false" ht="15" hidden="false" customHeight="false" outlineLevel="0" collapsed="false">
      <c r="F165" s="11" t="str">
        <f aca="false">IF(A165="","",IF(AND(A165&gt;=README!$B$4,A165&lt;=README!$B$5),"Yes","No"))</f>
        <v/>
      </c>
    </row>
    <row r="166" customFormat="false" ht="15" hidden="false" customHeight="false" outlineLevel="0" collapsed="false">
      <c r="F166" s="11" t="str">
        <f aca="false">IF(A166="","",IF(AND(A166&gt;=README!$B$4,A166&lt;=README!$B$5),"Yes","No"))</f>
        <v/>
      </c>
    </row>
    <row r="167" customFormat="false" ht="15" hidden="false" customHeight="false" outlineLevel="0" collapsed="false">
      <c r="F167" s="11" t="str">
        <f aca="false">IF(A167="","",IF(AND(A167&gt;=README!$B$4,A167&lt;=README!$B$5),"Yes","No"))</f>
        <v/>
      </c>
    </row>
    <row r="168" customFormat="false" ht="15" hidden="false" customHeight="false" outlineLevel="0" collapsed="false">
      <c r="F168" s="11" t="str">
        <f aca="false">IF(A168="","",IF(AND(A168&gt;=README!$B$4,A168&lt;=README!$B$5),"Yes","No"))</f>
        <v/>
      </c>
    </row>
    <row r="169" customFormat="false" ht="15" hidden="false" customHeight="false" outlineLevel="0" collapsed="false">
      <c r="F169" s="11" t="str">
        <f aca="false">IF(A169="","",IF(AND(A169&gt;=README!$B$4,A169&lt;=README!$B$5),"Yes","No"))</f>
        <v/>
      </c>
    </row>
    <row r="170" customFormat="false" ht="15" hidden="false" customHeight="false" outlineLevel="0" collapsed="false">
      <c r="F170" s="11" t="str">
        <f aca="false">IF(A170="","",IF(AND(A170&gt;=README!$B$4,A170&lt;=README!$B$5),"Yes","No"))</f>
        <v/>
      </c>
    </row>
    <row r="171" customFormat="false" ht="15" hidden="false" customHeight="false" outlineLevel="0" collapsed="false">
      <c r="F171" s="11" t="str">
        <f aca="false">IF(A171="","",IF(AND(A171&gt;=README!$B$4,A171&lt;=README!$B$5),"Yes","No"))</f>
        <v/>
      </c>
    </row>
    <row r="172" customFormat="false" ht="15" hidden="false" customHeight="false" outlineLevel="0" collapsed="false">
      <c r="F172" s="11" t="str">
        <f aca="false">IF(A172="","",IF(AND(A172&gt;=README!$B$4,A172&lt;=README!$B$5),"Yes","No"))</f>
        <v/>
      </c>
    </row>
    <row r="173" customFormat="false" ht="15" hidden="false" customHeight="false" outlineLevel="0" collapsed="false">
      <c r="F173" s="11" t="str">
        <f aca="false">IF(A173="","",IF(AND(A173&gt;=README!$B$4,A173&lt;=README!$B$5),"Yes","No"))</f>
        <v/>
      </c>
    </row>
    <row r="174" customFormat="false" ht="15" hidden="false" customHeight="false" outlineLevel="0" collapsed="false">
      <c r="F174" s="11" t="str">
        <f aca="false">IF(A174="","",IF(AND(A174&gt;=README!$B$4,A174&lt;=README!$B$5),"Yes","No"))</f>
        <v/>
      </c>
    </row>
    <row r="175" customFormat="false" ht="15" hidden="false" customHeight="false" outlineLevel="0" collapsed="false">
      <c r="F175" s="11" t="str">
        <f aca="false">IF(A175="","",IF(AND(A175&gt;=README!$B$4,A175&lt;=README!$B$5),"Yes","No"))</f>
        <v/>
      </c>
    </row>
    <row r="176" customFormat="false" ht="15" hidden="false" customHeight="false" outlineLevel="0" collapsed="false">
      <c r="F176" s="11" t="str">
        <f aca="false">IF(A176="","",IF(AND(A176&gt;=README!$B$4,A176&lt;=README!$B$5),"Yes","No"))</f>
        <v/>
      </c>
    </row>
    <row r="177" customFormat="false" ht="15" hidden="false" customHeight="false" outlineLevel="0" collapsed="false">
      <c r="F177" s="11" t="str">
        <f aca="false">IF(A177="","",IF(AND(A177&gt;=README!$B$4,A177&lt;=README!$B$5),"Yes","No"))</f>
        <v/>
      </c>
    </row>
    <row r="178" customFormat="false" ht="15" hidden="false" customHeight="false" outlineLevel="0" collapsed="false">
      <c r="F178" s="11" t="str">
        <f aca="false">IF(A178="","",IF(AND(A178&gt;=README!$B$4,A178&lt;=README!$B$5),"Yes","No"))</f>
        <v/>
      </c>
    </row>
    <row r="179" customFormat="false" ht="15" hidden="false" customHeight="false" outlineLevel="0" collapsed="false">
      <c r="F179" s="11" t="str">
        <f aca="false">IF(A179="","",IF(AND(A179&gt;=README!$B$4,A179&lt;=README!$B$5),"Yes","No"))</f>
        <v/>
      </c>
    </row>
    <row r="180" customFormat="false" ht="15" hidden="false" customHeight="false" outlineLevel="0" collapsed="false">
      <c r="F180" s="11" t="str">
        <f aca="false">IF(A180="","",IF(AND(A180&gt;=README!$B$4,A180&lt;=README!$B$5),"Yes","No"))</f>
        <v/>
      </c>
    </row>
    <row r="181" customFormat="false" ht="15" hidden="false" customHeight="false" outlineLevel="0" collapsed="false">
      <c r="F181" s="11" t="str">
        <f aca="false">IF(A181="","",IF(AND(A181&gt;=README!$B$4,A181&lt;=README!$B$5),"Yes","No"))</f>
        <v/>
      </c>
    </row>
    <row r="182" customFormat="false" ht="15" hidden="false" customHeight="false" outlineLevel="0" collapsed="false">
      <c r="F182" s="11" t="str">
        <f aca="false">IF(A182="","",IF(AND(A182&gt;=README!$B$4,A182&lt;=README!$B$5),"Yes","No"))</f>
        <v/>
      </c>
    </row>
    <row r="183" customFormat="false" ht="15" hidden="false" customHeight="false" outlineLevel="0" collapsed="false">
      <c r="F183" s="11" t="str">
        <f aca="false">IF(A183="","",IF(AND(A183&gt;=README!$B$4,A183&lt;=README!$B$5),"Yes","No"))</f>
        <v/>
      </c>
    </row>
    <row r="184" customFormat="false" ht="15" hidden="false" customHeight="false" outlineLevel="0" collapsed="false">
      <c r="F184" s="11" t="str">
        <f aca="false">IF(A184="","",IF(AND(A184&gt;=README!$B$4,A184&lt;=README!$B$5),"Yes","No"))</f>
        <v/>
      </c>
    </row>
    <row r="185" customFormat="false" ht="15" hidden="false" customHeight="false" outlineLevel="0" collapsed="false">
      <c r="F185" s="11" t="str">
        <f aca="false">IF(A185="","",IF(AND(A185&gt;=README!$B$4,A185&lt;=README!$B$5),"Yes","No"))</f>
        <v/>
      </c>
    </row>
    <row r="186" customFormat="false" ht="15" hidden="false" customHeight="false" outlineLevel="0" collapsed="false">
      <c r="F186" s="11" t="str">
        <f aca="false">IF(A186="","",IF(AND(A186&gt;=README!$B$4,A186&lt;=README!$B$5),"Yes","No"))</f>
        <v/>
      </c>
    </row>
    <row r="187" customFormat="false" ht="15" hidden="false" customHeight="false" outlineLevel="0" collapsed="false">
      <c r="F187" s="11" t="str">
        <f aca="false">IF(A187="","",IF(AND(A187&gt;=README!$B$4,A187&lt;=README!$B$5),"Yes","No"))</f>
        <v/>
      </c>
    </row>
    <row r="188" customFormat="false" ht="15" hidden="false" customHeight="false" outlineLevel="0" collapsed="false">
      <c r="F188" s="11" t="str">
        <f aca="false">IF(A188="","",IF(AND(A188&gt;=README!$B$4,A188&lt;=README!$B$5),"Yes","No"))</f>
        <v/>
      </c>
    </row>
    <row r="189" customFormat="false" ht="15" hidden="false" customHeight="false" outlineLevel="0" collapsed="false">
      <c r="F189" s="11" t="str">
        <f aca="false">IF(A189="","",IF(AND(A189&gt;=README!$B$4,A189&lt;=README!$B$5),"Yes","No"))</f>
        <v/>
      </c>
    </row>
    <row r="190" customFormat="false" ht="15" hidden="false" customHeight="false" outlineLevel="0" collapsed="false">
      <c r="F190" s="11" t="str">
        <f aca="false">IF(A190="","",IF(AND(A190&gt;=README!$B$4,A190&lt;=README!$B$5),"Yes","No"))</f>
        <v/>
      </c>
    </row>
    <row r="191" customFormat="false" ht="15" hidden="false" customHeight="false" outlineLevel="0" collapsed="false">
      <c r="F191" s="11" t="str">
        <f aca="false">IF(A191="","",IF(AND(A191&gt;=README!$B$4,A191&lt;=README!$B$5),"Yes","No"))</f>
        <v/>
      </c>
    </row>
    <row r="192" customFormat="false" ht="15" hidden="false" customHeight="false" outlineLevel="0" collapsed="false">
      <c r="F192" s="11" t="str">
        <f aca="false">IF(A192="","",IF(AND(A192&gt;=README!$B$4,A192&lt;=README!$B$5),"Yes","No"))</f>
        <v/>
      </c>
    </row>
    <row r="193" customFormat="false" ht="15" hidden="false" customHeight="false" outlineLevel="0" collapsed="false">
      <c r="F193" s="11" t="str">
        <f aca="false">IF(A193="","",IF(AND(A193&gt;=README!$B$4,A193&lt;=README!$B$5),"Yes","No"))</f>
        <v/>
      </c>
    </row>
    <row r="194" customFormat="false" ht="15" hidden="false" customHeight="false" outlineLevel="0" collapsed="false">
      <c r="F194" s="11" t="str">
        <f aca="false">IF(A194="","",IF(AND(A194&gt;=README!$B$4,A194&lt;=README!$B$5),"Yes","No"))</f>
        <v/>
      </c>
    </row>
    <row r="195" customFormat="false" ht="15" hidden="false" customHeight="false" outlineLevel="0" collapsed="false">
      <c r="F195" s="11" t="str">
        <f aca="false">IF(A195="","",IF(AND(A195&gt;=README!$B$4,A195&lt;=README!$B$5),"Yes","No"))</f>
        <v/>
      </c>
    </row>
    <row r="196" customFormat="false" ht="15" hidden="false" customHeight="false" outlineLevel="0" collapsed="false">
      <c r="F196" s="11" t="str">
        <f aca="false">IF(A196="","",IF(AND(A196&gt;=README!$B$4,A196&lt;=README!$B$5),"Yes","No"))</f>
        <v/>
      </c>
    </row>
    <row r="197" customFormat="false" ht="15" hidden="false" customHeight="false" outlineLevel="0" collapsed="false">
      <c r="F197" s="11" t="str">
        <f aca="false">IF(A197="","",IF(AND(A197&gt;=README!$B$4,A197&lt;=README!$B$5),"Yes","No"))</f>
        <v/>
      </c>
    </row>
    <row r="198" customFormat="false" ht="15" hidden="false" customHeight="false" outlineLevel="0" collapsed="false">
      <c r="F198" s="11" t="str">
        <f aca="false">IF(A198="","",IF(AND(A198&gt;=README!$B$4,A198&lt;=README!$B$5),"Yes","No"))</f>
        <v/>
      </c>
    </row>
    <row r="199" customFormat="false" ht="15" hidden="false" customHeight="false" outlineLevel="0" collapsed="false">
      <c r="F199" s="11" t="str">
        <f aca="false">IF(A199="","",IF(AND(A199&gt;=README!$B$4,A199&lt;=README!$B$5),"Yes","No"))</f>
        <v/>
      </c>
    </row>
    <row r="200" customFormat="false" ht="15" hidden="false" customHeight="false" outlineLevel="0" collapsed="false">
      <c r="F200" s="11" t="str">
        <f aca="false">IF(A200="","",IF(AND(A200&gt;=README!$B$4,A200&lt;=README!$B$5),"Yes","No"))</f>
        <v/>
      </c>
    </row>
    <row r="201" customFormat="false" ht="15" hidden="false" customHeight="false" outlineLevel="0" collapsed="false">
      <c r="F201" s="11" t="str">
        <f aca="false">IF(A201="","",IF(AND(A201&gt;=README!$B$4,A201&lt;=README!$B$5),"Yes","No"))</f>
        <v/>
      </c>
    </row>
  </sheetData>
  <dataValidations count="1">
    <dataValidation allowBlank="true" errorStyle="stop" operator="between" showDropDown="false" showErrorMessage="false" showInputMessage="false" sqref="B2:B201" type="list">
      <formula1>"Decode: Veritas,Fliq,Other"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5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7" min="6" style="0" width="14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3" t="s">
        <v>83</v>
      </c>
    </row>
    <row r="2" customFormat="false" ht="23.85" hidden="false" customHeight="false" outlineLevel="0" collapsed="false">
      <c r="A2" s="5" t="s">
        <v>20</v>
      </c>
      <c r="B2" s="5" t="s">
        <v>84</v>
      </c>
      <c r="C2" s="5" t="s">
        <v>85</v>
      </c>
      <c r="D2" s="5" t="s">
        <v>86</v>
      </c>
      <c r="E2" s="5" t="s">
        <v>87</v>
      </c>
      <c r="F2" s="5" t="s">
        <v>88</v>
      </c>
      <c r="G2" s="5" t="s">
        <v>89</v>
      </c>
      <c r="H2" s="5" t="s">
        <v>90</v>
      </c>
    </row>
    <row r="3" customFormat="false" ht="15" hidden="false" customHeight="false" outlineLevel="0" collapsed="false">
      <c r="A3" s="14" t="s">
        <v>34</v>
      </c>
      <c r="B3" s="9" t="n">
        <f aca="false">COUNTIFS(Beneficiaries!C:C,$A3,Beneficiaries!L:L,"Yes",Beneficiaries!M:M,"Yes")</f>
        <v>1</v>
      </c>
      <c r="C3" s="9" t="n">
        <f aca="false">COUNTIFS(Beneficiaries!C:C,$A3,Beneficiaries!D:D,"Indirect",Beneficiaries!M:M,"Yes")</f>
        <v>0</v>
      </c>
      <c r="D3" s="9" t="n">
        <f aca="false">SUMIFS(ReachLog!D:D,ReachLog!B:B,$A3,ReachLog!F:F,"Yes")</f>
        <v>0</v>
      </c>
      <c r="E3" s="15" t="n">
        <f aca="false">SUMIFS(Revenue!F:F,Revenue!B:B,$A3,Revenue!C:C,"Income",Revenue!H:H,"Yes")</f>
        <v>250</v>
      </c>
      <c r="F3" s="15" t="n">
        <f aca="false">SUMIFS(Revenue!F:F,Revenue!B:B,$A3,Revenue!C:C,"Expense",Revenue!H:H,"Yes")</f>
        <v>0</v>
      </c>
      <c r="G3" s="15" t="n">
        <f aca="false">E3-F3</f>
        <v>250</v>
      </c>
      <c r="H3" s="8" t="n">
        <f aca="false">IFERROR(AVERAGEIFS(Beneficiaries!K:K,Beneficiaries!C:C,$A3,Beneficiaries!L:L,"Yes",Beneficiaries!M:M,"Yes"),"")</f>
        <v>0.490909090909091</v>
      </c>
    </row>
    <row r="4" customFormat="false" ht="15" hidden="false" customHeight="false" outlineLevel="0" collapsed="false">
      <c r="A4" s="14" t="s">
        <v>53</v>
      </c>
      <c r="B4" s="9" t="n">
        <f aca="false">COUNTIFS(Beneficiaries!C:C,$A4,Beneficiaries!L:L,"Yes",Beneficiaries!M:M,"Yes")</f>
        <v>0</v>
      </c>
      <c r="C4" s="9" t="n">
        <f aca="false">COUNTIFS(Beneficiaries!C:C,$A4,Beneficiaries!D:D,"Indirect",Beneficiaries!M:M,"Yes")</f>
        <v>0</v>
      </c>
      <c r="D4" s="9" t="n">
        <f aca="false">SUMIFS(ReachLog!D:D,ReachLog!B:B,$A4,ReachLog!F:F,"Yes")</f>
        <v>480</v>
      </c>
      <c r="E4" s="15" t="n">
        <f aca="false">SUMIFS(Revenue!F:F,Revenue!B:B,$A4,Revenue!C:C,"Income",Revenue!H:H,"Yes")</f>
        <v>120</v>
      </c>
      <c r="F4" s="15" t="n">
        <f aca="false">SUMIFS(Revenue!F:F,Revenue!B:B,$A4,Revenue!C:C,"Expense",Revenue!H:H,"Yes")</f>
        <v>310</v>
      </c>
      <c r="G4" s="15" t="n">
        <f aca="false">E4-F4</f>
        <v>-190</v>
      </c>
      <c r="H4" s="8" t="str">
        <f aca="false">IFERROR(AVERAGEIFS(Beneficiaries!K:K,Beneficiaries!C:C,$A4,Beneficiaries!L:L,"Yes",Beneficiaries!M:M,"Yes"),"")</f>
        <v/>
      </c>
    </row>
    <row r="5" customFormat="false" ht="15" hidden="false" customHeight="false" outlineLevel="0" collapsed="false">
      <c r="A5" s="14" t="s">
        <v>91</v>
      </c>
      <c r="B5" s="9" t="n">
        <f aca="false">COUNTIFS(Beneficiaries!C:C,$A5,Beneficiaries!L:L,"Yes",Beneficiaries!M:M,"Yes")</f>
        <v>0</v>
      </c>
      <c r="C5" s="9" t="n">
        <f aca="false">COUNTIFS(Beneficiaries!C:C,$A5,Beneficiaries!D:D,"Indirect",Beneficiaries!M:M,"Yes")</f>
        <v>0</v>
      </c>
      <c r="D5" s="9" t="n">
        <f aca="false">SUMIFS(ReachLog!D:D,ReachLog!B:B,$A5,ReachLog!F:F,"Yes")</f>
        <v>0</v>
      </c>
      <c r="E5" s="15" t="n">
        <f aca="false">SUMIFS(Revenue!F:F,Revenue!B:B,$A5,Revenue!C:C,"Income",Revenue!H:H,"Yes")</f>
        <v>0</v>
      </c>
      <c r="F5" s="15" t="n">
        <f aca="false">SUMIFS(Revenue!F:F,Revenue!B:B,$A5,Revenue!C:C,"Expense",Revenue!H:H,"Yes")</f>
        <v>0</v>
      </c>
      <c r="G5" s="15" t="n">
        <f aca="false">E5-F5</f>
        <v>0</v>
      </c>
      <c r="H5" s="8" t="str">
        <f aca="false">IFERROR(AVERAGEIFS(Beneficiaries!K:K,Beneficiaries!C:C,$A5,Beneficiaries!L:L,"Yes",Beneficiaries!M:M,"Yes"),"")</f>
        <v/>
      </c>
    </row>
    <row r="6" customFormat="false" ht="15" hidden="false" customHeight="false" outlineLevel="0" collapsed="false">
      <c r="A6" s="16" t="s">
        <v>92</v>
      </c>
      <c r="B6" s="17" t="n">
        <f aca="false">SUM(B3:B5)</f>
        <v>1</v>
      </c>
      <c r="C6" s="17" t="n">
        <f aca="false">SUM(C3:C5)</f>
        <v>0</v>
      </c>
      <c r="D6" s="17" t="n">
        <f aca="false">SUM(D3:D5)</f>
        <v>480</v>
      </c>
      <c r="E6" s="18" t="n">
        <f aca="false">SUM(E3:E5)</f>
        <v>370</v>
      </c>
      <c r="F6" s="18" t="n">
        <f aca="false">SUM(F3:F5)</f>
        <v>310</v>
      </c>
      <c r="G6" s="18" t="n">
        <f aca="false">SUM(G3:G5)</f>
        <v>60</v>
      </c>
      <c r="H6" s="19"/>
    </row>
    <row r="8" customFormat="false" ht="15" hidden="false" customHeight="false" outlineLevel="0" collapsed="false">
      <c r="A8" s="20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2026-08-28T03:06:46Z</dcterms:created>
  <dc:creator>openpyxl</dc:creator>
  <dc:description/>
  <dc:language>en-US</dc:language>
  <cp:lastModifiedBy/>
  <dcterms:modified xsi:type="dcterms:W3CDTF">2026-08-28T03:06:46Z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